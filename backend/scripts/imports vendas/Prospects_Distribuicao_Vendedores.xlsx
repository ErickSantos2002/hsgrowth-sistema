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nicholsonpimentel/Downloads/"/>
    </mc:Choice>
  </mc:AlternateContent>
  <xr:revisionPtr revIDLastSave="0" documentId="8_{6A74680B-FB25-CD4E-802F-29468EC0B023}" xr6:coauthVersionLast="47" xr6:coauthVersionMax="47" xr10:uidLastSave="{00000000-0000-0000-0000-000000000000}"/>
  <bookViews>
    <workbookView xWindow="0" yWindow="0" windowWidth="38400" windowHeight="21600" tabRatio="500" activeTab="1" xr2:uid="{00000000-000D-0000-FFFF-FFFF00000000}"/>
  </bookViews>
  <sheets>
    <sheet name="Resumo" sheetId="1" r:id="rId1"/>
    <sheet name="sandra" sheetId="2" r:id="rId2"/>
    <sheet name="adriana" sheetId="3" r:id="rId3"/>
    <sheet name="gislaine" sheetId="4" r:id="rId4"/>
    <sheet name="eduardo" sheetId="5" r:id="rId5"/>
  </sheets>
  <definedNames>
    <definedName name="_xlnm._FilterDatabase" localSheetId="2" hidden="1">adriana!$A$4:$AY$13</definedName>
    <definedName name="_xlnm._FilterDatabase" localSheetId="4" hidden="1">eduardo!$A$4:$AY$12</definedName>
    <definedName name="_xlnm._FilterDatabase" localSheetId="3" hidden="1">gislaine!$A$4:$AY$13</definedName>
    <definedName name="_xlnm._FilterDatabase" localSheetId="1" hidden="1">sandra!$A$4:$AY$13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4" i="1" l="1"/>
  <c r="F23" i="1"/>
  <c r="F22" i="1"/>
  <c r="F21" i="1"/>
  <c r="F20" i="1"/>
  <c r="F19" i="1"/>
  <c r="F18" i="1"/>
  <c r="F17" i="1"/>
  <c r="F16" i="1"/>
  <c r="F15" i="1"/>
  <c r="D9" i="1"/>
  <c r="C9" i="1"/>
  <c r="B9" i="1"/>
  <c r="D8" i="1"/>
  <c r="C8" i="1"/>
  <c r="B8" i="1"/>
  <c r="D7" i="1"/>
  <c r="C7" i="1"/>
  <c r="B7" i="1"/>
  <c r="D6" i="1"/>
  <c r="D10" i="1" s="1"/>
  <c r="C6" i="1"/>
  <c r="C10" i="1" s="1"/>
  <c r="B6" i="1"/>
  <c r="B10" i="1" s="1"/>
</calcChain>
</file>

<file path=xl/sharedStrings.xml><?xml version="1.0" encoding="utf-8"?>
<sst xmlns="http://schemas.openxmlformats.org/spreadsheetml/2006/main" count="1553" uniqueCount="833">
  <si>
    <t>Distribuição de Prospects por Vendedor</t>
  </si>
  <si>
    <t>Critério de distribuição: round-robin (intercalado) para balancear UF e setor entre os 4 vendedores.</t>
  </si>
  <si>
    <t>Vendedor</t>
  </si>
  <si>
    <t>Qtd. Empresas</t>
  </si>
  <si>
    <t>Faturamento Total Presumido (R$)</t>
  </si>
  <si>
    <t>Total Funcionários</t>
  </si>
  <si>
    <t>Vendedor 1</t>
  </si>
  <si>
    <t>Vendedor 2</t>
  </si>
  <si>
    <t>Vendedor 3</t>
  </si>
  <si>
    <t>Vendedor 4</t>
  </si>
  <si>
    <t>TOTAL</t>
  </si>
  <si>
    <t>Distribuição por UF</t>
  </si>
  <si>
    <t>UF</t>
  </si>
  <si>
    <t>Total</t>
  </si>
  <si>
    <t>BA</t>
  </si>
  <si>
    <t>GO</t>
  </si>
  <si>
    <t>MA</t>
  </si>
  <si>
    <t>MG</t>
  </si>
  <si>
    <t>PR</t>
  </si>
  <si>
    <t>RJ</t>
  </si>
  <si>
    <t>RN</t>
  </si>
  <si>
    <t>RS</t>
  </si>
  <si>
    <t>SC</t>
  </si>
  <si>
    <t>SP</t>
  </si>
  <si>
    <t>Dica: cada aba já vem com filtro automático, cabeçalho congelado e as 3 primeiras colunas fixadas para facilitar a navegação.</t>
  </si>
  <si>
    <t>Carteira de Prospects — Vendedor 1</t>
  </si>
  <si>
    <t>Total de empresas: 9  |  Porte: GRANDE  |  Fonte: Base de prospecção</t>
  </si>
  <si>
    <t>CNPJ</t>
  </si>
  <si>
    <t>Razão Social</t>
  </si>
  <si>
    <t>Nome Fantasia</t>
  </si>
  <si>
    <t>Porte</t>
  </si>
  <si>
    <t>Faturamento Presumido (R$)</t>
  </si>
  <si>
    <t>Capital Social (R$)</t>
  </si>
  <si>
    <t>Qtd. Funcionários</t>
  </si>
  <si>
    <t>Score</t>
  </si>
  <si>
    <t>Classificação de Risco</t>
  </si>
  <si>
    <t>Situação Cadastral</t>
  </si>
  <si>
    <t>CNAE</t>
  </si>
  <si>
    <t>Atividade Principal</t>
  </si>
  <si>
    <t>Data Abertura</t>
  </si>
  <si>
    <t>Qtd. Filiais</t>
  </si>
  <si>
    <t>Logradouro</t>
  </si>
  <si>
    <t>Nº</t>
  </si>
  <si>
    <t>Complemento</t>
  </si>
  <si>
    <t>Bairro</t>
  </si>
  <si>
    <t>Cidade</t>
  </si>
  <si>
    <t>CEP</t>
  </si>
  <si>
    <t>DDD 1</t>
  </si>
  <si>
    <t>Telefone 1</t>
  </si>
  <si>
    <t>Tipo 1</t>
  </si>
  <si>
    <t>DDD 2</t>
  </si>
  <si>
    <t>Telefone 2</t>
  </si>
  <si>
    <t>Tipo 2</t>
  </si>
  <si>
    <t>DDD 3</t>
  </si>
  <si>
    <t>Telefone 3</t>
  </si>
  <si>
    <t>Tipo 3</t>
  </si>
  <si>
    <t>DDD 4</t>
  </si>
  <si>
    <t>Telefone 4</t>
  </si>
  <si>
    <t>Tipo 4</t>
  </si>
  <si>
    <t>E-mail 1</t>
  </si>
  <si>
    <t>E-mail 2</t>
  </si>
  <si>
    <t>E-mail 3</t>
  </si>
  <si>
    <t>Sócio 1</t>
  </si>
  <si>
    <t>Cargo Sócio 1</t>
  </si>
  <si>
    <t>DDD Sócio 1</t>
  </si>
  <si>
    <t>Tel. Sócio 1</t>
  </si>
  <si>
    <t>Sócio 2</t>
  </si>
  <si>
    <t>Cargo Sócio 2</t>
  </si>
  <si>
    <t>DDD Sócio 2</t>
  </si>
  <si>
    <t>Tel. Sócio 2</t>
  </si>
  <si>
    <t>Sócio 3</t>
  </si>
  <si>
    <t>Cargo Sócio 3</t>
  </si>
  <si>
    <t>DDD Sócio 3</t>
  </si>
  <si>
    <t>Tel. Sócio 3</t>
  </si>
  <si>
    <t>CNAEs Secundários</t>
  </si>
  <si>
    <t>Inscrição Estadual</t>
  </si>
  <si>
    <t>Flag DAU</t>
  </si>
  <si>
    <t>04.700.714/0001-63</t>
  </si>
  <si>
    <t>APM TERMINALS ITAJAI S.A.</t>
  </si>
  <si>
    <t>GRANDE</t>
  </si>
  <si>
    <t>RISCO MUITO BAIXO</t>
  </si>
  <si>
    <t>ATIVA</t>
  </si>
  <si>
    <t>5231102</t>
  </si>
  <si>
    <t>Atividades do Operador Portuário</t>
  </si>
  <si>
    <t>10/8/2001</t>
  </si>
  <si>
    <t>PEDRO FERREIRA</t>
  </si>
  <si>
    <t>333</t>
  </si>
  <si>
    <t>SALA 1302 EDIF ABSOLUTE B HOTEL</t>
  </si>
  <si>
    <t>CENTRO</t>
  </si>
  <si>
    <t>ITAJAI</t>
  </si>
  <si>
    <t>88301030</t>
  </si>
  <si>
    <t>47</t>
  </si>
  <si>
    <t>988692484</t>
  </si>
  <si>
    <t>Celular</t>
  </si>
  <si>
    <t>988051681</t>
  </si>
  <si>
    <t>991599797</t>
  </si>
  <si>
    <t>33419900</t>
  </si>
  <si>
    <t>Fixo</t>
  </si>
  <si>
    <t>INVOICE.BRAZIL@APMTERMINALS.COM</t>
  </si>
  <si>
    <t>JACKELINE DAROS ABREU</t>
  </si>
  <si>
    <t>DIRETOR</t>
  </si>
  <si>
    <t>999228111</t>
  </si>
  <si>
    <t>DANIEL ROSE</t>
  </si>
  <si>
    <t>PRESIDENTE</t>
  </si>
  <si>
    <t>996525784</t>
  </si>
  <si>
    <t>FRANCIELI BRIEDIS</t>
  </si>
  <si>
    <t>999257252</t>
  </si>
  <si>
    <t>5211799-Depósitos de mercadorias para terceiros, exceto armazéns gerais e guarda-móveis\7739099-Aluguel de outras máquinas e equipamentos comerciais e industriais não especificados anteriormente, sem operador</t>
  </si>
  <si>
    <t>254306527</t>
  </si>
  <si>
    <t>N</t>
  </si>
  <si>
    <t>07.030.611/0001-21</t>
  </si>
  <si>
    <t>PORTINVEST PARTICIPACOES S.A.</t>
  </si>
  <si>
    <t>9/23/2004</t>
  </si>
  <si>
    <t>DONA FRANCISCA</t>
  </si>
  <si>
    <t>8300</t>
  </si>
  <si>
    <t>BLOCO L SALA 15 UNIDADE EBANO COND PERINI BUSINES PARK</t>
  </si>
  <si>
    <t>ZONA INDUSTRIAL NORTE</t>
  </si>
  <si>
    <t>JOINVILLE</t>
  </si>
  <si>
    <t>89219600</t>
  </si>
  <si>
    <t>999691349</t>
  </si>
  <si>
    <t>38032224</t>
  </si>
  <si>
    <t>DIRETORIA@ITAPOASA.COM</t>
  </si>
  <si>
    <t>IVETE.DUCATI@BATTISTELLA.COM.BR</t>
  </si>
  <si>
    <t>JOSE ANTONIO DA ROSA NETO</t>
  </si>
  <si>
    <t>11</t>
  </si>
  <si>
    <t>969187224</t>
  </si>
  <si>
    <t>MAURICIO VALENTE BATTISTELLA</t>
  </si>
  <si>
    <t>992201612</t>
  </si>
  <si>
    <t>5231101-Administração da infraestrutura portuária\</t>
  </si>
  <si>
    <t>40.561.649/0001-04</t>
  </si>
  <si>
    <t>TERMINAL PORTUARIO COTEGIPE S.A</t>
  </si>
  <si>
    <t>PORTO COTEGIPE</t>
  </si>
  <si>
    <t>9/26/1991</t>
  </si>
  <si>
    <t>PONTA DO FERNANDINHO</t>
  </si>
  <si>
    <t>3142</t>
  </si>
  <si>
    <t>SAO TOME</t>
  </si>
  <si>
    <t>SALVADOR</t>
  </si>
  <si>
    <t>40800168</t>
  </si>
  <si>
    <t>71</t>
  </si>
  <si>
    <t>33112203</t>
  </si>
  <si>
    <t>SIMONE.CARMO@DIBRA.COM.BR</t>
  </si>
  <si>
    <t>FRANCISCO CLAUDIO SARAIVA LEAO DIAS BRANCO</t>
  </si>
  <si>
    <t>ADMINISTRADOR</t>
  </si>
  <si>
    <t>88</t>
  </si>
  <si>
    <t>997143353</t>
  </si>
  <si>
    <t>JORGE HUMBERTO PESSOA LOPES</t>
  </si>
  <si>
    <t>999178496</t>
  </si>
  <si>
    <t>FRANCISCO IVENS DE SA DIAS BRANCO JUNIOR</t>
  </si>
  <si>
    <t>35</t>
  </si>
  <si>
    <t>997571928</t>
  </si>
  <si>
    <t>5211701-Armazéns gerais - emissão de warrant\5231101-Administração da infraestrutura portuária\6462000-Holdings de instituições não financeiras\</t>
  </si>
  <si>
    <t>027.106.815</t>
  </si>
  <si>
    <t>02.703.755/0001-88</t>
  </si>
  <si>
    <t>ADONAI QUIMICA S/A</t>
  </si>
  <si>
    <t>5211701</t>
  </si>
  <si>
    <t>Armazéns gerais - emissão de warrant</t>
  </si>
  <si>
    <t>8/1/1998</t>
  </si>
  <si>
    <t>GOMES DE CARVALHO</t>
  </si>
  <si>
    <t>1306</t>
  </si>
  <si>
    <t>ANDAR 8 SALA 85</t>
  </si>
  <si>
    <t>VILA OLIMPIA</t>
  </si>
  <si>
    <t>SAO PAULO</t>
  </si>
  <si>
    <t>4547005</t>
  </si>
  <si>
    <t>30488822</t>
  </si>
  <si>
    <t>ALEX.PELEGRINI@ADONAIQUIMICA.COM.BR</t>
  </si>
  <si>
    <t>ALLAN.DIAS@ADONAIQUIMICA.COM.BR</t>
  </si>
  <si>
    <t>EDUARDO@ADONAIQUIMICA.COM.BR</t>
  </si>
  <si>
    <t>LEANDRO LUIZ CHIACHIO</t>
  </si>
  <si>
    <t>13</t>
  </si>
  <si>
    <t>981110043</t>
  </si>
  <si>
    <t>AMERICO RELVAS DA ROCHA</t>
  </si>
  <si>
    <t>930265174</t>
  </si>
  <si>
    <t>LUIS GUSTAVO BATISTA</t>
  </si>
  <si>
    <t>997141463</t>
  </si>
  <si>
    <t>148.300.992.110</t>
  </si>
  <si>
    <t>58.138.058/0001-86</t>
  </si>
  <si>
    <t>EUDMARCO S.A. SERVICOS E COMERCIO INTERNACIONAL</t>
  </si>
  <si>
    <t>9/1/1966</t>
  </si>
  <si>
    <t>CONJ 82 SALA 03</t>
  </si>
  <si>
    <t>30488729</t>
  </si>
  <si>
    <t>EDUARDO.MORAES@EUDMARCO.COM.BR</t>
  </si>
  <si>
    <t>LCARVALHO@EUDMARCOAG.COM.BR</t>
  </si>
  <si>
    <t>ANTONIA.OLIVEIRA@EUDMARCO.COM.BR</t>
  </si>
  <si>
    <t>LUIS ANTONIO FLORIANO</t>
  </si>
  <si>
    <t>98</t>
  </si>
  <si>
    <t>984951792</t>
  </si>
  <si>
    <t>4930201-Transporte rodoviário de carga, exceto produtos perigosos e mudanças, municipal\4930202-Transporte rodoviário de carga, exceto produtos perigosos e mudanças, intermunicipal, interestadual e internacional\4930203-Transporte rodoviário de produtos perigosos\5250802-Atividades de despachantes aduaneiros</t>
  </si>
  <si>
    <t>108.360.070.110</t>
  </si>
  <si>
    <t>S</t>
  </si>
  <si>
    <t>62.576.327/0001-63</t>
  </si>
  <si>
    <t>FUPRESA S.A.</t>
  </si>
  <si>
    <t>2451200</t>
  </si>
  <si>
    <t>Fundição de ferro e aço</t>
  </si>
  <si>
    <t>12/16/1969</t>
  </si>
  <si>
    <t>ENGENHEIRO ERMENIO DE OLIVEIRA PENTEADO</t>
  </si>
  <si>
    <t>SN</t>
  </si>
  <si>
    <t>KM 47 6</t>
  </si>
  <si>
    <t>CALDEIRA</t>
  </si>
  <si>
    <t>INDAIATUBA</t>
  </si>
  <si>
    <t>13347600</t>
  </si>
  <si>
    <t>999009799</t>
  </si>
  <si>
    <t>19</t>
  </si>
  <si>
    <t>38859606</t>
  </si>
  <si>
    <t>CONTABILIDADE@FUPRESA.COM.BR</t>
  </si>
  <si>
    <t>ANDRE@FUPRESA.COM.BR</t>
  </si>
  <si>
    <t>ARMANDO.NETO@FUPRESA.COM.BR</t>
  </si>
  <si>
    <t>PAULO ROBERTO RODRIGUES BUTORI</t>
  </si>
  <si>
    <t>983329949</t>
  </si>
  <si>
    <t>ANTONIO CARLOS ALVES BEVILACQUA</t>
  </si>
  <si>
    <t>112.289.553.110</t>
  </si>
  <si>
    <t>02.680.379/0001-53</t>
  </si>
  <si>
    <t>PORTO SECO CENTRO OESTE S/A</t>
  </si>
  <si>
    <t>EADI ANAPOLIS</t>
  </si>
  <si>
    <t>RISCO BAIXO</t>
  </si>
  <si>
    <t>2/7/1980</t>
  </si>
  <si>
    <t>VP 5E</t>
  </si>
  <si>
    <t>QD 09 MOD 07</t>
  </si>
  <si>
    <t>DISTRITO AGROINDUSTRIAL DE ANAPOLIS</t>
  </si>
  <si>
    <t>ANAPOLIS</t>
  </si>
  <si>
    <t>75132125</t>
  </si>
  <si>
    <t>62</t>
  </si>
  <si>
    <t>991472245</t>
  </si>
  <si>
    <t>998212843</t>
  </si>
  <si>
    <t>998239489</t>
  </si>
  <si>
    <t>33106100</t>
  </si>
  <si>
    <t>PORTO@PORTOCENTROOESTE.COM.BR</t>
  </si>
  <si>
    <t>PORTO.COMPRAS@PORTOCENTROOESTE.COM.BR</t>
  </si>
  <si>
    <t>SAID VIEIRA BORGES</t>
  </si>
  <si>
    <t>999289888</t>
  </si>
  <si>
    <t>EVERALDO FIATKOSKI JUNIOR</t>
  </si>
  <si>
    <t>984368000</t>
  </si>
  <si>
    <t>ROBERTO RASSI</t>
  </si>
  <si>
    <t>5120000-Transporte aéreo de carga\5211701-Armazéns gerais - emissão de warrant\5211799-Depósitos de mercadorias para terceiros, exceto armazéns gerais e guarda-móveis\5212500-Carga e descarga\5222200-Terminais rodoviários e ferroviários\5231101-Administração da infraestrutura portuária\5240101-Operação dos aeroportos e campos de aterrissagem\5250802-Atividades de despachantes aduaneiros\5250803-Agenciamento de cargas, exceto para o transporte marítimo\5250804-Organização logística do transporte de carga\5250805-Operador de transporte multimodal - OTM\8299799-Outras atividades de serviços prestados principalmente às empresas não especificadas anteriormente</t>
  </si>
  <si>
    <t>10.044.749-0</t>
  </si>
  <si>
    <t>01.115.535/0001-70</t>
  </si>
  <si>
    <t>TESC - TERMINAL SANTA CATARINA S/A</t>
  </si>
  <si>
    <t>3/25/1996</t>
  </si>
  <si>
    <t>ENGENHEIRO LEITE RIBEIRO</t>
  </si>
  <si>
    <t>99</t>
  </si>
  <si>
    <t>SAO FRANCISCO DO SUL</t>
  </si>
  <si>
    <t>89240000</t>
  </si>
  <si>
    <t>34712112</t>
  </si>
  <si>
    <t>CONTABILIDADE@TERMINALSC.COM.BR</t>
  </si>
  <si>
    <t>MARIO JOSE NASCIMENTO VALENTIM</t>
  </si>
  <si>
    <t>CONSELHEIRO DE ADMINISTRACAO</t>
  </si>
  <si>
    <t>21</t>
  </si>
  <si>
    <t>999532341</t>
  </si>
  <si>
    <t>LETICIA BRESSAN</t>
  </si>
  <si>
    <t>999314149</t>
  </si>
  <si>
    <t>RAPHAEL BLANC COSTA SCHUWARTZ VIEIRA</t>
  </si>
  <si>
    <t>5211701-Armazéns gerais - emissão de warrant\5231101-Administração da infraestrutura portuária</t>
  </si>
  <si>
    <t>256080267</t>
  </si>
  <si>
    <t>95.426.862/0001-97</t>
  </si>
  <si>
    <t>EXCELSIOR ALIMENTOS SA.</t>
  </si>
  <si>
    <t>1013901</t>
  </si>
  <si>
    <t>Fabricação de produtos de carne</t>
  </si>
  <si>
    <t>9/5/1966</t>
  </si>
  <si>
    <t>BARAO DO ARROIO GRANDE</t>
  </si>
  <si>
    <t>192</t>
  </si>
  <si>
    <t>ARROIO GRANDE</t>
  </si>
  <si>
    <t>SANTA CRUZ DO SUL</t>
  </si>
  <si>
    <t>96830504</t>
  </si>
  <si>
    <t>51</t>
  </si>
  <si>
    <t>999307079</t>
  </si>
  <si>
    <t>997778348</t>
  </si>
  <si>
    <t>996468841</t>
  </si>
  <si>
    <t>21068800</t>
  </si>
  <si>
    <t>FISCAL@EXCELSIOR.IND.BR</t>
  </si>
  <si>
    <t>JOANITA MARIA MAESTRI KAROLESKI</t>
  </si>
  <si>
    <t>999737388</t>
  </si>
  <si>
    <t>LUIZ CARLOS MOTTA NUNES</t>
  </si>
  <si>
    <t>999533758</t>
  </si>
  <si>
    <t>GILBERTO TOMAZONI</t>
  </si>
  <si>
    <t>991301452</t>
  </si>
  <si>
    <t>0154700-Criação de suínos\1013902-Preparação de subprodutos do abate\1043100-Fabricação de margarina e outras gorduras vegetais e de óleos não comestíveis de animais\1052000-Fabricação de laticínios\1094500-Fabricação de massas alimentícias\1096100-Fabricação de alimentos e pratos prontos\1099699-Fabricação de outros produtos alimentícios não especificados anteriormente\4631100-Comércio atacadista de leite e laticínios\4634601-Comércio atacadista de carnes bovinas e suínas e derivados\4634602-Comércio atacadista de aves abatidas e derivados\4634699-Comércio atacadista de carnes e derivados de outros animais\4637105-Comércio atacadista de massas alimentícias\4637199-Comércio atacadista especializado em outros produtos alimentícios não especificados anteriormente\4639701-Comércio atacadista de produtos alimentícios em geral\4639702-Comércio atacadista de produtos alimentícios em geral, com atividade de fracionamento e acondicionamento associada\4930201-Transporte rodoviário de carga, exceto produtos perigosos e mudanças, municipal\6821801-Corretagem na compra e venda e avaliação de imóveis\</t>
  </si>
  <si>
    <t>108/0000191</t>
  </si>
  <si>
    <t>Carteira de Prospects — Vendedor 2</t>
  </si>
  <si>
    <t>88.416.482/0001-06</t>
  </si>
  <si>
    <t>METASA SA INDUSTRIA METALURGICA</t>
  </si>
  <si>
    <t>2511000</t>
  </si>
  <si>
    <t>Fabricação de estruturas metálicas</t>
  </si>
  <si>
    <t>1/13/1976</t>
  </si>
  <si>
    <t>LOC RODOVIA RS</t>
  </si>
  <si>
    <t>324</t>
  </si>
  <si>
    <t>KM 82 SN</t>
  </si>
  <si>
    <t>SEDE</t>
  </si>
  <si>
    <t>MARAU</t>
  </si>
  <si>
    <t>99150000</t>
  </si>
  <si>
    <t>54</t>
  </si>
  <si>
    <t>996343123</t>
  </si>
  <si>
    <t>976216176</t>
  </si>
  <si>
    <t>33427400</t>
  </si>
  <si>
    <t>RAFAEL.SORANCO@METASA.COM.BR</t>
  </si>
  <si>
    <t>ANTONIO ROSO</t>
  </si>
  <si>
    <t>991045075</t>
  </si>
  <si>
    <t>FELIPE FUGA ROSO</t>
  </si>
  <si>
    <t>984387994</t>
  </si>
  <si>
    <t>VINICIUS FUGA ROSO</t>
  </si>
  <si>
    <t>991245792</t>
  </si>
  <si>
    <t>2449199-Metalurgia de outros metais não ferrosos e suas ligas não especificados anteriormente\2869100-Fabricação de máquinas e equipamentos para uso industrial específico não especificados anteriormente, peças e acessórios\3011301-Construção de embarcações de grande porte\3011302-Construção de embarcações para uso comercial e para usos especiais, exceto de grande porte\3317101-Manutenção e reparação de embarcações e estruturas flutuantes\3321000-Instalação de máquinas e equipamentos industriais\4292802-Obras de montagem industrial\4299599-Outras obras de engenharia civil não especificadas anteriormente\4313400-Obras de terraplenagem\4321500-Instalação e manutenção elétrica\4322301-Instalações hidráulicas, sanitárias e de gás\4618499-Outros representantes comerciais e agentes do comércio especializado em produtos não especificados anteriormente\4685100-Comércio atacadista de produtos siderúrgicos e metalúrgicos, exceto para construção\4789099-Comércio varejista de outros produtos não especificados anteriormente\4930203-Transporte rodoviário de produtos perigosos\5212500-Carga e descarga\5231103-Gestão de terminais aquaviários\7112000-Serviços de engenharia\7119799-Atividades técnicas relacionadas à engenharia e arquitetura não especificadas anteriormente\7732201-Aluguel de máquinas e equipamentos para construção sem operador, exceto andaimes</t>
  </si>
  <si>
    <t>075/0011955</t>
  </si>
  <si>
    <t>02.873.539/0001-80</t>
  </si>
  <si>
    <t>SOLSTAD SHIPPING LTDA.</t>
  </si>
  <si>
    <t>5030101</t>
  </si>
  <si>
    <t>Navegação de apoio marítimo</t>
  </si>
  <si>
    <t>10/16/1998</t>
  </si>
  <si>
    <t>ABILIO MOREIRA DE MIRANDA</t>
  </si>
  <si>
    <t>606</t>
  </si>
  <si>
    <t>IMBETIBA</t>
  </si>
  <si>
    <t>MACAE</t>
  </si>
  <si>
    <t>27915250</t>
  </si>
  <si>
    <t>998303129</t>
  </si>
  <si>
    <t>999958267</t>
  </si>
  <si>
    <t>998390019</t>
  </si>
  <si>
    <t>22</t>
  </si>
  <si>
    <t>21051900</t>
  </si>
  <si>
    <t>COMMERCIAL.RIO@FARSTAD.COM</t>
  </si>
  <si>
    <t>ANDRE.MEDEIROS@FARSTAD.COM</t>
  </si>
  <si>
    <t>PURCHASE.MACAE@FARSTAD.COM</t>
  </si>
  <si>
    <t>FELIPE RODRIGUES ALVES MEIRA</t>
  </si>
  <si>
    <t>SOCIO ADMINISTRADOR</t>
  </si>
  <si>
    <t>980373637</t>
  </si>
  <si>
    <t>CAROLINE DIAS COSTA RODRIGUES</t>
  </si>
  <si>
    <t>982094999</t>
  </si>
  <si>
    <t>SOLSTAD BRASIL HOLDING AS</t>
  </si>
  <si>
    <t>SOCIO PESSOA JURIDICA DOMICILIADO NO EXTERIOR</t>
  </si>
  <si>
    <t>0910600-Atividades de apoio à extração de petróleo e gás natural\5030102-Navegação de apoio portuário</t>
  </si>
  <si>
    <t>76.099.960</t>
  </si>
  <si>
    <t>92.721.232/0001-57</t>
  </si>
  <si>
    <t>BANRISUL - ARMAZENS GERAIS S/A</t>
  </si>
  <si>
    <t>11/12/1953</t>
  </si>
  <si>
    <t>GETULIO VARGAS</t>
  </si>
  <si>
    <t>8201</t>
  </si>
  <si>
    <t>SAO JOSE</t>
  </si>
  <si>
    <t>CANOAS</t>
  </si>
  <si>
    <t>92420024</t>
  </si>
  <si>
    <t>997909104</t>
  </si>
  <si>
    <t>980308494</t>
  </si>
  <si>
    <t>997127857</t>
  </si>
  <si>
    <t>34257021</t>
  </si>
  <si>
    <t>SECRETARIA@BAGERGS.COM.BR</t>
  </si>
  <si>
    <t>CRISTINA BACHETTINI DUARTE</t>
  </si>
  <si>
    <t>53</t>
  </si>
  <si>
    <t>981040002</t>
  </si>
  <si>
    <t>IBANEZ FERREIRA FILTER</t>
  </si>
  <si>
    <t>995160033</t>
  </si>
  <si>
    <t>FERNANDO ZINGANO</t>
  </si>
  <si>
    <t>999993903</t>
  </si>
  <si>
    <t>024/0165853</t>
  </si>
  <si>
    <t>92.017.110/0001-84</t>
  </si>
  <si>
    <t>BERTOL SA IND COM E EXP</t>
  </si>
  <si>
    <t>4930202</t>
  </si>
  <si>
    <t>Transporte rodoviário de carga, exceto produtos perigosos e mudanças, intermunicipal, interestadual e internacional</t>
  </si>
  <si>
    <t>5/4/1944</t>
  </si>
  <si>
    <t>FAGUNDES DOS REIS</t>
  </si>
  <si>
    <t>428</t>
  </si>
  <si>
    <t>SALA 502</t>
  </si>
  <si>
    <t>PASSO FUNDO</t>
  </si>
  <si>
    <t>99010070</t>
  </si>
  <si>
    <t>980535885</t>
  </si>
  <si>
    <t>995701980</t>
  </si>
  <si>
    <t>997975986</t>
  </si>
  <si>
    <t>21031722</t>
  </si>
  <si>
    <t>CONTABILIDADE@BERTOL.COM.BR</t>
  </si>
  <si>
    <t>DOMINGOS@BERTOL.COM.BR</t>
  </si>
  <si>
    <t>LIANE BERTOL</t>
  </si>
  <si>
    <t>999827743</t>
  </si>
  <si>
    <t>IVO BERTOL</t>
  </si>
  <si>
    <t>999988321</t>
  </si>
  <si>
    <t>IVO BERTOL JUNIOR</t>
  </si>
  <si>
    <t>999350333</t>
  </si>
  <si>
    <t>0115600-Cultivo de soja\0210101-Cultivo de eucalipto\4622200-Comércio atacadista de soja\</t>
  </si>
  <si>
    <t>091/1045716</t>
  </si>
  <si>
    <t>85.041.333/0001-11</t>
  </si>
  <si>
    <t>PORTO PONTA DO FELIX S/A</t>
  </si>
  <si>
    <t>5/15/1992</t>
  </si>
  <si>
    <t>ENGENHEIRO LUIZ AUGUSTO LEAO FONSECA</t>
  </si>
  <si>
    <t>1520</t>
  </si>
  <si>
    <t>ITAPEMA DE BAIXO</t>
  </si>
  <si>
    <t>ANTONINA</t>
  </si>
  <si>
    <t>83370000</t>
  </si>
  <si>
    <t>41</t>
  </si>
  <si>
    <t>40404474</t>
  </si>
  <si>
    <t>RONALDO.CORREA@TPPF.COM.BR</t>
  </si>
  <si>
    <t>TPPF@TPPF.COM.BR</t>
  </si>
  <si>
    <t>PONTADOFELIX@PONTADOFELIX.COM.BR</t>
  </si>
  <si>
    <t>NIKITA GUSKOV</t>
  </si>
  <si>
    <t>MARCO ANTONIO GHIDINI</t>
  </si>
  <si>
    <t>999995465</t>
  </si>
  <si>
    <t>LUIZ ALBERTO BONI</t>
  </si>
  <si>
    <t>996256688</t>
  </si>
  <si>
    <t>4291000-Obras portuárias, marítimas e fluviais\5030101-Navegação de apoio marítimo\5030102-Navegação de apoio portuário\5211799-Depósitos de mercadorias para terceiros, exceto armazéns gerais e guarda-móveis\5212500-Carga e descarga\5231101-Administração da infraestrutura portuária\6462000-Holdings de instituições não financeiras\7119702-Atividades de estudos geológicos\8292000-Envasamento e empacotamento sob contrato\</t>
  </si>
  <si>
    <t>90170765-04</t>
  </si>
  <si>
    <t>89.423.040/0001-50</t>
  </si>
  <si>
    <t>CERCENA S/A - INDUSTRIA METALURGICA</t>
  </si>
  <si>
    <t>5/15/1972</t>
  </si>
  <si>
    <t>SALOMAO IOSCHPE</t>
  </si>
  <si>
    <t>361</t>
  </si>
  <si>
    <t>CX P 101</t>
  </si>
  <si>
    <t>INDUSTRIAL</t>
  </si>
  <si>
    <t>ERECHIM</t>
  </si>
  <si>
    <t>99706399</t>
  </si>
  <si>
    <t>21071300</t>
  </si>
  <si>
    <t>991334199</t>
  </si>
  <si>
    <t>991364048</t>
  </si>
  <si>
    <t>991351415</t>
  </si>
  <si>
    <t>CONTROLADORIA@CERCENA.COM.BR</t>
  </si>
  <si>
    <t>RODRIGO.RAFAEL@CERCENA.COM.BR</t>
  </si>
  <si>
    <t>FERNANDO@CERCENA.COM.BR</t>
  </si>
  <si>
    <t>JUAREZ JOSE CERCENA</t>
  </si>
  <si>
    <t>999822829</t>
  </si>
  <si>
    <t>MARGARETE IGNEZ CERCENA</t>
  </si>
  <si>
    <t>984444079</t>
  </si>
  <si>
    <t>RENATA ZANARDO CERCENA</t>
  </si>
  <si>
    <t>992439993</t>
  </si>
  <si>
    <t>2539001-Serviços de usinagem, torneiria e solda\2941700-Fabricação de peças e acessórios para o sistema motor de veículos automotores\2942500-Fabricação de peças e acessórios para os sistemas de marcha e transmissão de veículos automotores\2943300-Fabricação de peças e acessórios para o sistema de freios de veículos automotores\2944100-Fabricação de peças e acessórios para o sistema de direção e suspensão de veículos automotores\2949299-Fabricação de outras peças e acessórios para veículos automotores não especificadas anteriormente\3314713-Manutenção e reparação de máquinas-ferramenta\4614100-Representantes comerciais e agentes do comércio de máquinas, equipamentos, embarcações e aeronaves\4619200-Representantes comerciais e agentes do comércio de mercadorias em geral não especializado\4685100-Comércio atacadista de produtos siderúrgicos e metalúrgicos, exceto para construção\7120100-Testes e análises técnicas\7210000-Pesquisa e desenvolvimento experimental em ciências físicas e naturais</t>
  </si>
  <si>
    <t>039/0001260</t>
  </si>
  <si>
    <t>04.244.527/0001-12</t>
  </si>
  <si>
    <t>TERMINAL XXXIX DE SANTOS S.A</t>
  </si>
  <si>
    <t>1/9/2001</t>
  </si>
  <si>
    <t>GOVERNADOR MARIO COVAS JUNIOR</t>
  </si>
  <si>
    <t>ARMZXXXIX</t>
  </si>
  <si>
    <t>ESTUARIO</t>
  </si>
  <si>
    <t>SANTOS</t>
  </si>
  <si>
    <t>11020300</t>
  </si>
  <si>
    <t>974160015</t>
  </si>
  <si>
    <t>974173035</t>
  </si>
  <si>
    <t>974040729</t>
  </si>
  <si>
    <t>32785007</t>
  </si>
  <si>
    <t>TERMINAL39@TERMINAL39.COM.BR</t>
  </si>
  <si>
    <t>JOAO MARCELO ALVES DA SILVA</t>
  </si>
  <si>
    <t>996373939</t>
  </si>
  <si>
    <t>CRISTIANO GONCALVES FARIA</t>
  </si>
  <si>
    <t>64</t>
  </si>
  <si>
    <t>992039517</t>
  </si>
  <si>
    <t>5211799-Depósitos de mercadorias para terceiros, exceto armazéns gerais e guarda-móveis\5231101-Administração da infraestrutura portuária</t>
  </si>
  <si>
    <t>633.566.880.117</t>
  </si>
  <si>
    <t>43.244.631/0001-69</t>
  </si>
  <si>
    <t>TRANSPORTADORA AMERICANA S.A.</t>
  </si>
  <si>
    <t>T.A.</t>
  </si>
  <si>
    <t>7/29/1966</t>
  </si>
  <si>
    <t>RIO NEGRO</t>
  </si>
  <si>
    <t>500</t>
  </si>
  <si>
    <t>ANDAR 6 TORRE 1 SALA 603</t>
  </si>
  <si>
    <t>ALPHAVILLE CENTRO INDUSTRIAL E EMPRESARIAL/ALPHAVILLE.</t>
  </si>
  <si>
    <t>BARUERI</t>
  </si>
  <si>
    <t>06454000</t>
  </si>
  <si>
    <t>991953958</t>
  </si>
  <si>
    <t>991953931</t>
  </si>
  <si>
    <t>43918824</t>
  </si>
  <si>
    <t>FISCAL@MOVE3.COM.BR</t>
  </si>
  <si>
    <t>CONTATO@TANET.COM.BR</t>
  </si>
  <si>
    <t>ORIDES.SANTOS@TANET.COM.BR</t>
  </si>
  <si>
    <t>LEOPOLDO DE BRUGGEN E SILVA</t>
  </si>
  <si>
    <t>999762227</t>
  </si>
  <si>
    <t>DIEGO OLIVEIRA DA RESSURREICAO</t>
  </si>
  <si>
    <t>933142424</t>
  </si>
  <si>
    <t>4511102-Comércio a varejo de automóveis, camionetas e utilitários usados\4511104-Comércio por atacado de caminhões novos e usados\4930201-Transporte rodoviário de carga, exceto produtos perigosos e mudanças, municipal\4930203-Transporte rodoviário de produtos perigosos\5212500-Carga e descarga\5232000-Atividades de agenciamento marítimo\5250803-Agenciamento de cargas, exceto para o transporte marítimo\8599604-Treinamento em desenvolvimento profissional e gerencial</t>
  </si>
  <si>
    <t>165.003.886.115</t>
  </si>
  <si>
    <t>65.790.610/0001-81</t>
  </si>
  <si>
    <t>ABATEDOURO DE AVES CALIFORNIA LTDA</t>
  </si>
  <si>
    <t>GONZALEZ</t>
  </si>
  <si>
    <t>RISCO ALTO</t>
  </si>
  <si>
    <t>1012101</t>
  </si>
  <si>
    <t>Abate de aves</t>
  </si>
  <si>
    <t>4/17/1991</t>
  </si>
  <si>
    <t>LOC E VICINAL RICIERI COLA</t>
  </si>
  <si>
    <t>KM 1 LOC E VICINAL RICIERI COL</t>
  </si>
  <si>
    <t>ZONA RURAL</t>
  </si>
  <si>
    <t>PIRANGI</t>
  </si>
  <si>
    <t>15820000</t>
  </si>
  <si>
    <t>17</t>
  </si>
  <si>
    <t>996240121</t>
  </si>
  <si>
    <t>996232749</t>
  </si>
  <si>
    <t>997041370</t>
  </si>
  <si>
    <t>33869800</t>
  </si>
  <si>
    <t>CONTABIL@FRANGOGONZALEZ.COM.BR</t>
  </si>
  <si>
    <t>COMPRAS@FRANGOGONZALEZ.COM.BR</t>
  </si>
  <si>
    <t>FRANGOGONZALEZ@FRANGOGONZALEZ.COM.BR</t>
  </si>
  <si>
    <t>VGN PARTICIPACOES LTDA</t>
  </si>
  <si>
    <t>SOCIO</t>
  </si>
  <si>
    <t>TRES IRMAS PARTICIPACOES LTDA</t>
  </si>
  <si>
    <t>55097151</t>
  </si>
  <si>
    <t>GONZALEZ ADMINISTRACAO E PARTICIPACOES LTDA</t>
  </si>
  <si>
    <t>0139306-Cultivo de seringueira\0155501-Criação de frangos para corte\0155502-Produção de pintos de um dia\0155503-Criação de outros galináceos, exceto para corte\0155505-Produção de ovos\1013901-Fabricação de produtos de carne\1013902-Preparação de subprodutos do abate\1066000-Fabricação de alimentos para animais\1099604-Fabricação de gelo comum\4634603-Comércio atacadista de pescados e frutos do mar\4637199-Comércio atacadista especializado em outros produtos alimentícios não especificados anteriormente\4722901-Comércio varejista de carnes - açougues\4930202-Transporte rodoviário de carga, exceto produtos perigosos e mudanças, intermunicipal, interestadual e internacional\</t>
  </si>
  <si>
    <t>539.005.639.117</t>
  </si>
  <si>
    <t>Carteira de Prospects — Vendedor 3</t>
  </si>
  <si>
    <t>83.188.110/0001-56</t>
  </si>
  <si>
    <t>FRICASA ALIMENTOS S/A</t>
  </si>
  <si>
    <t>FRICASA</t>
  </si>
  <si>
    <t>8/26/1966</t>
  </si>
  <si>
    <t>SENADOR IVO D AQUINO</t>
  </si>
  <si>
    <t>1330</t>
  </si>
  <si>
    <t>INDUSTRIAL 1</t>
  </si>
  <si>
    <t>CANOINHAS</t>
  </si>
  <si>
    <t>89462488</t>
  </si>
  <si>
    <t>999780975</t>
  </si>
  <si>
    <t>31</t>
  </si>
  <si>
    <t>33483552</t>
  </si>
  <si>
    <t>999781382</t>
  </si>
  <si>
    <t>999781268</t>
  </si>
  <si>
    <t>FISCAL@FRICASA.COM.BR</t>
  </si>
  <si>
    <t>ALEXFERNANDES@FRICASA.COM.BR</t>
  </si>
  <si>
    <t>ANASCHETTINI@FRICASA.COM.BR</t>
  </si>
  <si>
    <t>LUIZ CARLOS MENDES COSTA</t>
  </si>
  <si>
    <t>975129723</t>
  </si>
  <si>
    <t>LUCIANO SALLES</t>
  </si>
  <si>
    <t>28</t>
  </si>
  <si>
    <t>999113320</t>
  </si>
  <si>
    <t>ANTONIO DOS SANTOS COSTA FILHO</t>
  </si>
  <si>
    <t>27</t>
  </si>
  <si>
    <t>998870227</t>
  </si>
  <si>
    <t>0151201-Criação de bovinos para corte\0151202-Criação de bovinos para leite\0153902-Criação de ovinos, inclusive para produção de lã\0154700-Criação de suínos\0155501-Criação de frangos para corte\0155502-Produção de pintos de um dia\0155503-Criação de outros galináceos, exceto para corte\0155504-Criação de aves, exceto galináceos\0155505-Produção de ovos\1011201-Frigorífico - abate de bovinos\1011203-Frigorífico - abate de ovinos e caprinos\1012101-Abate de aves\1012103-Frigorífico - abate de suínos\1013902-Preparação de subprodutos do abate\1066000-Fabricação de alimentos para animais\1510600-Curtimento e outras preparações de couro\4631100-Comércio atacadista de leite e laticínios\4634601-Comércio atacadista de carnes bovinas e suínas e derivados\4634602-Comércio atacadista de aves abatidas e derivados\4634603-Comércio atacadista de pescados e frutos do mar\4634699-Comércio atacadista de carnes e derivados de outros animais\4635402-Comércio atacadista de cerveja, chope e refrigerante\4635499-Comércio atacadista de bebidas não especificadas anteriormente\4637105-Comércio atacadista de massas alimentícias\4637199-Comércio atacadista especializado em outros produtos alimentícios não especificados anteriormente\4639702-Comércio atacadista de produtos alimentícios em geral, com atividade de fracionamento e acondicionamento associada\4689399-Comércio atacadista especializado em outros produtos intermediários não especificados anteriormente\4691500-Comércio atacadista de mercadorias em geral, com predominância de produtos alimentícios\4721103-Comércio varejista de laticínios e frios\4722901-Comércio varejista de carnes - açougues\4729699-Comércio varejista de produtos alimentícios em geral ou especializado em produtos alimentícios não especificados anteriormente\4771704-Comércio varejista de medicamentos veterinários\4789004-Comércio varejista de animais vivos e de artigos e alimentos para animais de estimação\6462000-Holdings de instituições não financeiras</t>
  </si>
  <si>
    <t>250006545</t>
  </si>
  <si>
    <t>02.725.300/0001-63</t>
  </si>
  <si>
    <t>PASA - PARANA OPERACOES PORTUARIAS S/A</t>
  </si>
  <si>
    <t>PASA</t>
  </si>
  <si>
    <t>8/4/1998</t>
  </si>
  <si>
    <t>BENTO ROCHA</t>
  </si>
  <si>
    <t>67</t>
  </si>
  <si>
    <t>ARMZ PASA</t>
  </si>
  <si>
    <t>DOM PEDRO II</t>
  </si>
  <si>
    <t>PARANAGUA</t>
  </si>
  <si>
    <t>83221565</t>
  </si>
  <si>
    <t>999845842</t>
  </si>
  <si>
    <t>984285303</t>
  </si>
  <si>
    <t>984285777</t>
  </si>
  <si>
    <t>34205700</t>
  </si>
  <si>
    <t>PASAPARANAGUA@PASAPARANAGUA.COM.BR</t>
  </si>
  <si>
    <t>OSVALDO.SILVA@PASAPARANAGUA.COM.BR</t>
  </si>
  <si>
    <t>PAULO MENEGUETTI</t>
  </si>
  <si>
    <t>44</t>
  </si>
  <si>
    <t>999821982</t>
  </si>
  <si>
    <t>PERSIO SOUZA DE ASSIS</t>
  </si>
  <si>
    <t>999118382</t>
  </si>
  <si>
    <t>SIDNEY SAMUEL MENEGUETTI</t>
  </si>
  <si>
    <t>991460647</t>
  </si>
  <si>
    <t>5222200-Terminais rodoviários e ferroviários\5223100-Estacionamento de veículos\5231101-Administração da infraestrutura portuária\5231102-Atividades do Operador Portuário\5250802-Atividades de despachantes aduaneiros\8299799-Outras atividades de serviços prestados principalmente às empresas não especificadas anteriormente</t>
  </si>
  <si>
    <t>90232683-93</t>
  </si>
  <si>
    <t>60.713.823/0001-96</t>
  </si>
  <si>
    <t>SWIFT ARMOUR S A INDUSTRIA E COMERCIO</t>
  </si>
  <si>
    <t>8/31/1966</t>
  </si>
  <si>
    <t>BRIGADEIRO FARIA LIMA, 2391</t>
  </si>
  <si>
    <t>2391</t>
  </si>
  <si>
    <t>ANDAR 12 CONJ 121 SALA 09</t>
  </si>
  <si>
    <t>JARDIM PAULISTANO</t>
  </si>
  <si>
    <t>1452905</t>
  </si>
  <si>
    <t>30343008</t>
  </si>
  <si>
    <t>SWIFT.SASAIC@GMAIL.COM</t>
  </si>
  <si>
    <t>SWIFTBORDON@GLOBO.COM</t>
  </si>
  <si>
    <t>FLORISVALDO CAETANO DE OLIVEIRA</t>
  </si>
  <si>
    <t>994571681</t>
  </si>
  <si>
    <t>100.158.750.114</t>
  </si>
  <si>
    <t>04.784.802/0001-90</t>
  </si>
  <si>
    <t>COMPANHIA OPERADORA PORTUARIA DO ITAQUI</t>
  </si>
  <si>
    <t>COPI</t>
  </si>
  <si>
    <t>10/31/2001</t>
  </si>
  <si>
    <t>DO ITAQUI</t>
  </si>
  <si>
    <t>BAIA DE SAO MARCOS</t>
  </si>
  <si>
    <t>ITAQUI</t>
  </si>
  <si>
    <t>SAO LUIS</t>
  </si>
  <si>
    <t>65085370</t>
  </si>
  <si>
    <t>984059839</t>
  </si>
  <si>
    <t>981144834</t>
  </si>
  <si>
    <t>32616539</t>
  </si>
  <si>
    <t>FINANCEIRO@COPI-PORTODOITAQUI.COM.BR</t>
  </si>
  <si>
    <t>PEDRO ALCEU FELDMANN</t>
  </si>
  <si>
    <t>65</t>
  </si>
  <si>
    <t>998012007</t>
  </si>
  <si>
    <t>VALMOR FELIPETTO</t>
  </si>
  <si>
    <t>991096280</t>
  </si>
  <si>
    <t>DARLAN FABIO DE DAVID</t>
  </si>
  <si>
    <t>48</t>
  </si>
  <si>
    <t>988262773</t>
  </si>
  <si>
    <t>5211701-Armazéns gerais - emissão de warrant\5231101-Administração da infraestrutura portuária\6463800-Outras sociedades de participação, exceto holdings\7739099-Aluguel de outras máquinas e equipamentos comerciais e industriais não especificados anteriormente, sem operador</t>
  </si>
  <si>
    <t>12.539316-4</t>
  </si>
  <si>
    <t>75.294.801/0001-06</t>
  </si>
  <si>
    <t>MARTINI MEAT S/A ARMAZENS GERAIS</t>
  </si>
  <si>
    <t>EMERGENT COLD LATAM</t>
  </si>
  <si>
    <t>7/14/1970</t>
  </si>
  <si>
    <t>BR-277</t>
  </si>
  <si>
    <t>5709</t>
  </si>
  <si>
    <t>COLONIA SANTA RITA</t>
  </si>
  <si>
    <t>83209715</t>
  </si>
  <si>
    <t>42</t>
  </si>
  <si>
    <t>998540039</t>
  </si>
  <si>
    <t>34202000</t>
  </si>
  <si>
    <t>FISCAL@EMERGENTCOLD.COM</t>
  </si>
  <si>
    <t>FISCAL@MARTINIMEAT.COM.BR</t>
  </si>
  <si>
    <t>COMPRAS@MARTINIMEAT.COM.BR</t>
  </si>
  <si>
    <t>EVANDRO CALANCA DA SILVA</t>
  </si>
  <si>
    <t>945585809</t>
  </si>
  <si>
    <t>DAVID ALAN PALFENIER</t>
  </si>
  <si>
    <t>982791817</t>
  </si>
  <si>
    <t>RICARDO LUIZ AGUIAR JACOB</t>
  </si>
  <si>
    <t>991299240</t>
  </si>
  <si>
    <t>4930201-Transporte rodoviário de carga, exceto produtos perigosos e mudanças, municipal\4930202-Transporte rodoviário de carga, exceto produtos perigosos e mudanças, intermunicipal, interestadual e internacional\5212500-Carga e descarga\5231102-Atividades do Operador Portuário\5232000-Atividades de agenciamento marítimo\5250801-Comissaria de despachos\5250802-Atividades de despachantes aduaneiros\5250803-Agenciamento de cargas, exceto para o transporte marítimo\5250804-Organização logística do transporte de carga\5250805-Operador de transporte multimodal - OTM</t>
  </si>
  <si>
    <t>11802869-49</t>
  </si>
  <si>
    <t>07.032.076/0001-48</t>
  </si>
  <si>
    <t>FUNDIMISA - FUNDICAO E USINAGEM LTDA.</t>
  </si>
  <si>
    <t>10/6/2004</t>
  </si>
  <si>
    <t>GIRUA</t>
  </si>
  <si>
    <t>50</t>
  </si>
  <si>
    <t>ALIANCA</t>
  </si>
  <si>
    <t>SANTO ANGELO</t>
  </si>
  <si>
    <t>98805540</t>
  </si>
  <si>
    <t>55</t>
  </si>
  <si>
    <t>33139000</t>
  </si>
  <si>
    <t>LEONARDO@FUNDIMISA.COM.BR</t>
  </si>
  <si>
    <t>ANDRE@FUNDIMISA.COM.BR</t>
  </si>
  <si>
    <t>BETHINA@FUNDIMISA.COM.BR</t>
  </si>
  <si>
    <t>PAULO ROBERTO VELLINHO ELY</t>
  </si>
  <si>
    <t>SOCIO-ADMINISTRADOR</t>
  </si>
  <si>
    <t>999823029</t>
  </si>
  <si>
    <t>JAQUELINE MARIA MULLER ELY</t>
  </si>
  <si>
    <t>999400878</t>
  </si>
  <si>
    <t>2424502-Produção de relaminados, trefilados e perfilados de aço, exceto arames\2539001-Serviços de usinagem, torneiria e solda\2539002-Serviços de tratamento e revestimento em metais\2593400-Fabricação de artigos de metal para uso doméstico e pessoal\2599301-Serviços de confecção de armações metálicas para a construção\2599302-Serviço de corte e dobra de metais\2599399-Fabricação de outros produtos de metal não especificados anteriormente\2833000-Fabricação de máquinas e equipamentos para a agricultura e pecuária, peças e acessórios, exceto para irrigação\2941700-Fabricação de peças e acessórios para o sistema motor de veículos automotores\2942500-Fabricação de peças e acessórios para os sistemas de marcha e transmissão de veículos automotores\2943300-Fabricação de peças e acessórios para o sistema de freios de veículos automotores\2944100-Fabricação de peças e acessórios para o sistema de direção e suspensão de veículos automotores\4663000-Comércio atacadista de máquinas e equipamentos para uso industrial, partes e peças\4687703-Comércio atacadista de resíduos e sucatas metálicos\4759899-Comércio varejista de outros artigos de uso doméstico não especificados anteriormente\</t>
  </si>
  <si>
    <t>113/0136342</t>
  </si>
  <si>
    <t>05.527.694/0001-33</t>
  </si>
  <si>
    <t>TERMINAL DE GRANEIS DO GUARUJA S.A.</t>
  </si>
  <si>
    <t>2/7/2003</t>
  </si>
  <si>
    <t>SANTOS DUMONT</t>
  </si>
  <si>
    <t>TEFER1 TECON3</t>
  </si>
  <si>
    <t>JARDIM CONCEICAOZINHA (VICENTE DE CARVALHO)</t>
  </si>
  <si>
    <t>GUARUJA</t>
  </si>
  <si>
    <t>11460006</t>
  </si>
  <si>
    <t>997528103</t>
  </si>
  <si>
    <t>974030183</t>
  </si>
  <si>
    <t>974076576</t>
  </si>
  <si>
    <t>21048800</t>
  </si>
  <si>
    <t>CONTABIL@TGG.COM.BR</t>
  </si>
  <si>
    <t>GILDECIO JOSE MOREIRA FIEL</t>
  </si>
  <si>
    <t>981766291</t>
  </si>
  <si>
    <t>CLAUDINEI FRANCISCO ZENATTI</t>
  </si>
  <si>
    <t>995202670</t>
  </si>
  <si>
    <t>FLORENT ALAIN HENRI DUPUI</t>
  </si>
  <si>
    <t>335.195.176.119</t>
  </si>
  <si>
    <t>10.341.742/0001-34</t>
  </si>
  <si>
    <t>POLY TERMINAIS PORTUARIOS SA</t>
  </si>
  <si>
    <t>POLY TERMINAIS</t>
  </si>
  <si>
    <t>9/16/2008</t>
  </si>
  <si>
    <t>JOSE LUIZ MARCELINO</t>
  </si>
  <si>
    <t>1400</t>
  </si>
  <si>
    <t>MURTA</t>
  </si>
  <si>
    <t>88311370</t>
  </si>
  <si>
    <t>991517895</t>
  </si>
  <si>
    <t>992494637</t>
  </si>
  <si>
    <t>991404549</t>
  </si>
  <si>
    <t>21045788</t>
  </si>
  <si>
    <t>COMPRAS@POLYTERMINAIS.COM.BR</t>
  </si>
  <si>
    <t>ADALBERTO SEDLACEK</t>
  </si>
  <si>
    <t>999797008</t>
  </si>
  <si>
    <t>EDISON MALLMANN</t>
  </si>
  <si>
    <t>996872300</t>
  </si>
  <si>
    <t>JULIO CESAR BOTICELLI</t>
  </si>
  <si>
    <t>980579075</t>
  </si>
  <si>
    <t>4930203-Transporte rodoviário de produtos perigosos\5211701-Armazéns gerais - emissão de warrant\5211799-Depósitos de mercadorias para terceiros, exceto armazéns gerais e guarda-móveis\5212500-Carga e descarga\5250804-Organização logística do transporte de carga\5250805-Operador de transporte multimodal - OTM</t>
  </si>
  <si>
    <t>255697546</t>
  </si>
  <si>
    <t>38.711.826/0001-31</t>
  </si>
  <si>
    <t>LINCON INDUSTRIA E COMERCIO LTDA</t>
  </si>
  <si>
    <t>RISCO MÉDIO</t>
  </si>
  <si>
    <t>7/27/1990</t>
  </si>
  <si>
    <t>JOSE MARIA DE LACERDA</t>
  </si>
  <si>
    <t>2058</t>
  </si>
  <si>
    <t>B</t>
  </si>
  <si>
    <t>CIDADE INDUSTRIAL</t>
  </si>
  <si>
    <t>CONTAGEM</t>
  </si>
  <si>
    <t>32210120</t>
  </si>
  <si>
    <t>33680001</t>
  </si>
  <si>
    <t>SAC@TROPEIRA.COM.BR</t>
  </si>
  <si>
    <t>AGAMENON.MAGALHAES@TROPEIRA.COM.BR</t>
  </si>
  <si>
    <t>ALEXIA.NEVES@TROPEIRA.COM.BR</t>
  </si>
  <si>
    <t>ANTONIO BRAGA DOS SANTOS</t>
  </si>
  <si>
    <t>984508811</t>
  </si>
  <si>
    <t>MARTON PARTICIPACOES S/A</t>
  </si>
  <si>
    <t>1013902-Preparação de subprodutos do abate\4634601-Comércio atacadista de carnes bovinas e suínas e derivados\4634602-Comércio atacadista de aves abatidas e derivados\4634603-Comércio atacadista de pescados e frutos do mar\4637199-Comércio atacadista especializado em outros produtos alimentícios não especificados anteriormente\4639701-Comércio atacadista de produtos alimentícios em geral\4721103-Comércio varejista de laticínios e frios\4722901-Comércio varejista de carnes - açougues\4722902-Peixaria\4729699-Comércio varejista de produtos alimentícios em geral ou especializado em produtos alimentícios não especificados anteriormente</t>
  </si>
  <si>
    <t>186657198.00-48</t>
  </si>
  <si>
    <t>Carteira de Prospects — Vendedor 4</t>
  </si>
  <si>
    <t>Total de empresas: 8  |  Porte: GRANDE  |  Fonte: Base de prospecção</t>
  </si>
  <si>
    <t>34.040.345/0001-90</t>
  </si>
  <si>
    <t>COMPANHIA DOCAS DO RIO GRANDE DO NORTE - CODERN</t>
  </si>
  <si>
    <t>3/16/1970</t>
  </si>
  <si>
    <t>ENGENHEIRO HILDEBRANDO DE GOIS</t>
  </si>
  <si>
    <t>220</t>
  </si>
  <si>
    <t>RIBEIRA</t>
  </si>
  <si>
    <t>NATAL</t>
  </si>
  <si>
    <t>59010700</t>
  </si>
  <si>
    <t>84</t>
  </si>
  <si>
    <t>999910660</t>
  </si>
  <si>
    <t>999910634</t>
  </si>
  <si>
    <t>981650770</t>
  </si>
  <si>
    <t>32023200</t>
  </si>
  <si>
    <t>FINANCEIRO@CODERN.COM.BR</t>
  </si>
  <si>
    <t>ALLIKA.LIRA@CODERN.COM.BR</t>
  </si>
  <si>
    <t>BOSCO.MACEDO@CODERN.COM.BR</t>
  </si>
  <si>
    <t>20.061.797-4</t>
  </si>
  <si>
    <t>17.500.224/0001-65</t>
  </si>
  <si>
    <t>USIMINAS MECANICA SA</t>
  </si>
  <si>
    <t>12/13/1971</t>
  </si>
  <si>
    <t>DO CONTORNO</t>
  </si>
  <si>
    <t>6594</t>
  </si>
  <si>
    <t>SALA 801 C</t>
  </si>
  <si>
    <t>LOURDES</t>
  </si>
  <si>
    <t>BELO HORIZONTE</t>
  </si>
  <si>
    <t>30110044</t>
  </si>
  <si>
    <t>34999019</t>
  </si>
  <si>
    <t>FERNANDO MAZZONI PENA</t>
  </si>
  <si>
    <t>999883228</t>
  </si>
  <si>
    <t>ADRIANE VIEIRA OLIVEIRA ALBUQUERQUE</t>
  </si>
  <si>
    <t>984546799</t>
  </si>
  <si>
    <t>2513600-Fabricação de obras de caldeiraria pesada\2599399-Fabricação de outros produtos de metal não especificados anteriormente\2949299-Fabricação de outras peças e acessórios para veículos automotores não especificadas anteriormente\3011301-Construção de embarcações de grande porte\3317101-Manutenção e reparação de embarcações e estruturas flutuantes\3321000-Instalação de máquinas e equipamentos industriais\4291000-Obras portuárias, marítimas e fluviais\4292801-Montagem de estruturas metálicas\4292802-Obras de montagem industrial\4789099-Comércio varejista de outros produtos não especificados anteriormente\7119799-Atividades técnicas relacionadas à engenharia e arquitetura não especificadas anteriormente\8630502-Atividade médica ambulatorial com recursos para realização de exames complementares\8630504-Atividade odontológica\8630506-Serviços de vacinação e imunização humana\8640202-Laboratórios clínicos\8650001-Atividades de enfermagem\8650002-Atividades de profissionais da nutrição\8650003-Atividades de psicologia e psicanálise\8650004-Atividades de fisioterapia\8650006-Atividades de fonoaudiologia\8650099-Atividades de profissionais da área de saúde não especificadas anteriormente\</t>
  </si>
  <si>
    <t>062025169.00-90</t>
  </si>
  <si>
    <t>58.180.316/0001-92</t>
  </si>
  <si>
    <t>SANTOS BRASIL LOGISTICA S.A.</t>
  </si>
  <si>
    <t>10/17/1966</t>
  </si>
  <si>
    <t>ANCHIETA</t>
  </si>
  <si>
    <t>820</t>
  </si>
  <si>
    <t>ALEMOA</t>
  </si>
  <si>
    <t>11095000</t>
  </si>
  <si>
    <t>32793279</t>
  </si>
  <si>
    <t>PRISCILA.FARES@SANTOSBRASILLOG.COM.BR</t>
  </si>
  <si>
    <t>COMPRAS@SANTOSBRASIL.COM.BR</t>
  </si>
  <si>
    <t>ADRIANA.AUGUSTO@SANTOSBRASIL.COM.BR</t>
  </si>
  <si>
    <t>RICARDO DOS SANTOS BUTERI</t>
  </si>
  <si>
    <t>990031551</t>
  </si>
  <si>
    <t>ANTONIO CARLOS DUARTE SEPULVEDA</t>
  </si>
  <si>
    <t>997302878</t>
  </si>
  <si>
    <t>DANIEL PEDREIRA DOREA</t>
  </si>
  <si>
    <t>997430956</t>
  </si>
  <si>
    <t>4930203-Transporte rodoviário de produtos perigosos\4930204-Transporte rodoviário de mudanças\5212500-Carga e descarga\5250801-Comissaria de despachos\5250803-Agenciamento de cargas, exceto para o transporte marítimo\5250804-Organização logística do transporte de carga\5250805-Operador de transporte multimodal - OTM\</t>
  </si>
  <si>
    <t>633.064.086.111</t>
  </si>
  <si>
    <t>52.045.697/0001-10</t>
  </si>
  <si>
    <t>SASAZAKI INDUSTRIA E COMERCIO S.A.</t>
  </si>
  <si>
    <t>2512800</t>
  </si>
  <si>
    <t>Fabricação de esquadrias de metal</t>
  </si>
  <si>
    <t>8/3/1966</t>
  </si>
  <si>
    <t>EUGENIO CONEGLIAN 1060</t>
  </si>
  <si>
    <t>1060</t>
  </si>
  <si>
    <t>DISTRITO INDUSTRIAL</t>
  </si>
  <si>
    <t>MARILIA</t>
  </si>
  <si>
    <t>17512900</t>
  </si>
  <si>
    <t>959090534</t>
  </si>
  <si>
    <t>14</t>
  </si>
  <si>
    <t>996780894</t>
  </si>
  <si>
    <t>996779164</t>
  </si>
  <si>
    <t>34029922</t>
  </si>
  <si>
    <t>GREICE@SASAZAKI.COM.BR</t>
  </si>
  <si>
    <t>BARBARA@SASAZAKI.COM.BR</t>
  </si>
  <si>
    <t>ALEX.SANTIAGO@SASAZAKI.COM.BR</t>
  </si>
  <si>
    <t>LEONARDO KOZO SASAZAKI</t>
  </si>
  <si>
    <t>997845050</t>
  </si>
  <si>
    <t>GERALDO GONCALVES</t>
  </si>
  <si>
    <t>15</t>
  </si>
  <si>
    <t>997442852</t>
  </si>
  <si>
    <t>2599302-Serviço de corte e dobra de metais\4330402-Instalação de portas, janelas, tetos, divisórias e armários embutidos de qualquer material\4399199-Serviços especializados para construção não especificados anteriormente\4612500-Representantes comerciais e agentes do comércio de combustíveis, minerais, produtos siderúrgicos e químicos\4679604-Comércio atacadista especializado de materiais de construção não especificados anteriormente\4744005-Comércio varejista de materiais de construção não especificados anteriormente\4930202-Transporte rodoviário de carga, exceto produtos perigosos e mudanças, intermunicipal, interestadual e internacional\</t>
  </si>
  <si>
    <t>438.010.070.113</t>
  </si>
  <si>
    <t>06.989.608/0001-77</t>
  </si>
  <si>
    <t>BARRA DO RIO TERMINAL PORTUARIO S.A</t>
  </si>
  <si>
    <t>8/20/2004</t>
  </si>
  <si>
    <t>ARNOLDO LOPES GONZAGA</t>
  </si>
  <si>
    <t>507</t>
  </si>
  <si>
    <t>BARRA DO RIO</t>
  </si>
  <si>
    <t>88305570</t>
  </si>
  <si>
    <t>991142493</t>
  </si>
  <si>
    <t>992894531</t>
  </si>
  <si>
    <t>992939737</t>
  </si>
  <si>
    <t>33411051</t>
  </si>
  <si>
    <t>JZUNINO@ESTINAVELOG.COM.BR</t>
  </si>
  <si>
    <t>RICARDO TOMBINI</t>
  </si>
  <si>
    <t>RICARDO RAMOS MORAES</t>
  </si>
  <si>
    <t>991166116</t>
  </si>
  <si>
    <t>ANGELO COSER NETO</t>
  </si>
  <si>
    <t>958382446</t>
  </si>
  <si>
    <t>3317101-Manutenção e reparação de embarcações e estruturas flutuantes\4671100-Comércio atacadista de madeira e produtos derivados\4930201-Transporte rodoviário de carga, exceto produtos perigosos e mudanças, municipal\4930202-Transporte rodoviário de carga, exceto produtos perigosos e mudanças, intermunicipal, interestadual e internacional\5211701-Armazéns gerais - emissão de warrant\5211799-Depósitos de mercadorias para terceiros, exceto armazéns gerais e guarda-móveis\5212500-Carga e descarga\5231101-Administração da infraestrutura portuária\5232000-Atividades de agenciamento marítimo\5239799-Atividades auxiliares dos transportes aquaviários não especificadas anteriormente\5250801-Comissaria de despachos\7739099-Aluguel de outras máquinas e equipamentos comerciais e industriais não especificados anteriormente, sem operador</t>
  </si>
  <si>
    <t>255109660</t>
  </si>
  <si>
    <t>80.718.984/0001-80</t>
  </si>
  <si>
    <t>ALUMASA INDUSTRIA DE PLASTICO E ALUMINIO LTDA</t>
  </si>
  <si>
    <t>6/20/1988</t>
  </si>
  <si>
    <t>SC 445</t>
  </si>
  <si>
    <t>KM 25 B</t>
  </si>
  <si>
    <t>URUSSANGA</t>
  </si>
  <si>
    <t>88840000</t>
  </si>
  <si>
    <t>34412256</t>
  </si>
  <si>
    <t>CONTABILIDADE@ALUMASA.COM.BR</t>
  </si>
  <si>
    <t>JURANDI@ALUMASA.COM.BR</t>
  </si>
  <si>
    <t>CRISTIANO.RALDI@ALUMASA.COM.BR</t>
  </si>
  <si>
    <t>RENATO FONTANELLA</t>
  </si>
  <si>
    <t>REINALDO FONTANELLA</t>
  </si>
  <si>
    <t>998290628</t>
  </si>
  <si>
    <t>RODRIGO FONTANELLA</t>
  </si>
  <si>
    <t>999841297</t>
  </si>
  <si>
    <t>2229301-Fabricação de artefatos de material plástico para uso pessoal e doméstico\2441501-Produção de alumínio e suas ligas em formas primárias\2441502-Produção de laminados de alumínio\2599399-Fabricação de outros produtos de metal não especificados anteriormente\4330402-Instalação de portas, janelas, tetos, divisórias e armários embutidos de qualquer material\4649499-Comércio atacadista de outros equipamentos e artigos de uso pessoal e doméstico não especificados anteriormente\4679699-Comércio atacadista de materiais de construção em geral\</t>
  </si>
  <si>
    <t>251694208</t>
  </si>
  <si>
    <t>01.785.688/0001-25</t>
  </si>
  <si>
    <t>TERMINAL GRANELEIRO S/A</t>
  </si>
  <si>
    <t>TERGRASA</t>
  </si>
  <si>
    <t>4/3/1997</t>
  </si>
  <si>
    <t>ALMIRANTE MAXIMIANO FONSECA</t>
  </si>
  <si>
    <t>5481</t>
  </si>
  <si>
    <t>4 SECCAO DA BARRA</t>
  </si>
  <si>
    <t>ZONA PORTUARIA</t>
  </si>
  <si>
    <t>RIO GRANDE</t>
  </si>
  <si>
    <t>96204040</t>
  </si>
  <si>
    <t>30368650</t>
  </si>
  <si>
    <t>FISCAL@CCGL.COM.BR</t>
  </si>
  <si>
    <t>NEI CESAR MANICA</t>
  </si>
  <si>
    <t>981069551</t>
  </si>
  <si>
    <t>DARCI PEDRO HARTMANN</t>
  </si>
  <si>
    <t>981250055</t>
  </si>
  <si>
    <t>CAIO CEZAR FERNANDEZ VIANNA</t>
  </si>
  <si>
    <t>988427210</t>
  </si>
  <si>
    <t>5211799-Depósitos de mercadorias para terceiros, exceto armazéns gerais e guarda-móveis\5231102-Atividades do Operador Portuário</t>
  </si>
  <si>
    <t>100/0186900</t>
  </si>
  <si>
    <t>42.598.920/0001-01</t>
  </si>
  <si>
    <t>NORSULMAX NAVEGACAO SA</t>
  </si>
  <si>
    <t>NORAP</t>
  </si>
  <si>
    <t>5011401</t>
  </si>
  <si>
    <t>Transporte marítimo de cabotagem - Carga</t>
  </si>
  <si>
    <t>4/18/1977</t>
  </si>
  <si>
    <t>PRESIDENTE WILSON, 231</t>
  </si>
  <si>
    <t>00231</t>
  </si>
  <si>
    <t>SAL 304</t>
  </si>
  <si>
    <t>RIO DE JANEIRO</t>
  </si>
  <si>
    <t>20030905</t>
  </si>
  <si>
    <t>21390515</t>
  </si>
  <si>
    <t>ANGELO BARONCINI</t>
  </si>
  <si>
    <t>998573143</t>
  </si>
  <si>
    <t>FABIANO BODANEZI LORENZI</t>
  </si>
  <si>
    <t>993386179</t>
  </si>
  <si>
    <t>RODRIGO PIRES CUESTA</t>
  </si>
  <si>
    <t>995731493</t>
  </si>
  <si>
    <t>5012201-Transporte marítimo de longo curso - Carga\</t>
  </si>
  <si>
    <t>81.416.885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</si>
</sst>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$ &quot;#,##0"/>
    <numFmt numFmtId="165" formatCode="&quot;R$ &quot;#,##0;[Red]&quot;-R$ &quot;#,##0;\-"/>
    <numFmt numFmtId="166" formatCode="#,##0;\-#,##0;\-"/>
  </numFmts>
  <fonts count="11" x14ac:knownFonts="1">
    <font>
      <sz val="11"/>
      <color theme="1"/>
      <name val="Calibri"/>
      <family val="2"/>
      <charset val="1"/>
    </font>
    <font>
      <b/>
      <sz val="16"/>
      <color rgb="FF1F3864"/>
      <name val="Calibri"/>
      <family val="2"/>
    </font>
    <font>
      <i/>
      <sz val="10"/>
      <color rgb="FF595959"/>
      <name val="Calibri"/>
      <family val="2"/>
    </font>
    <font>
      <b/>
      <sz val="11"/>
      <color rgb="FFFFFFFF"/>
      <name val="Calibri"/>
      <family val="2"/>
    </font>
    <font>
      <b/>
      <sz val="11"/>
      <name val="Cambria"/>
      <family val="1"/>
    </font>
    <font>
      <b/>
      <sz val="11"/>
      <color rgb="FF1F3864"/>
      <name val="Cambria"/>
      <family val="1"/>
    </font>
    <font>
      <b/>
      <sz val="12"/>
      <color rgb="FF1F3864"/>
      <name val="Calibri"/>
      <family val="2"/>
    </font>
    <font>
      <i/>
      <sz val="9"/>
      <color rgb="FF595959"/>
      <name val="Cambria"/>
      <family val="1"/>
    </font>
    <font>
      <b/>
      <sz val="14"/>
      <color rgb="FF1F3864"/>
      <name val="Calibri"/>
      <family val="2"/>
    </font>
    <font>
      <sz val="10"/>
      <name val="Calibri"/>
      <family val="2"/>
    </font>
    <font>
      <sz val="12"/>
      <color rgb="FF9C57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DDEBF7"/>
      </patternFill>
    </fill>
    <fill>
      <patternFill patternType="solid">
        <fgColor rgb="FFDDEBF7"/>
        <bgColor rgb="FFF2F2F2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medium">
        <color rgb="FF1F3864"/>
      </top>
      <bottom style="medium">
        <color rgb="FF1F3864"/>
      </bottom>
      <diagonal/>
    </border>
  </borders>
  <cellStyleXfs count="2">
    <xf numFmtId="0" fontId="0" fillId="0" borderId="0"/>
    <xf numFmtId="0" fontId="10" fillId="5" borderId="0" applyNumberFormat="0" applyBorder="0" applyAlignment="0" applyProtection="0"/>
  </cellStyleXfs>
  <cellXfs count="34">
    <xf numFmtId="0" fontId="0" fillId="0" borderId="0" xfId="0"/>
    <xf numFmtId="0" fontId="8" fillId="0" borderId="0" xfId="0" applyFont="1" applyAlignment="1">
      <alignment horizontal="left" vertical="center"/>
    </xf>
    <xf numFmtId="0" fontId="7" fillId="0" borderId="0" xfId="0" applyFont="1"/>
    <xf numFmtId="0" fontId="2" fillId="0" borderId="0" xfId="0" applyFont="1"/>
    <xf numFmtId="0" fontId="1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164" fontId="0" fillId="3" borderId="1" xfId="0" applyNumberFormat="1" applyFill="1" applyBorder="1" applyAlignment="1">
      <alignment vertical="center"/>
    </xf>
    <xf numFmtId="3" fontId="0" fillId="3" borderId="1" xfId="0" applyNumberForma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3" fontId="0" fillId="0" borderId="1" xfId="0" applyNumberFormat="1" applyBorder="1" applyAlignment="1">
      <alignment vertical="center"/>
    </xf>
    <xf numFmtId="0" fontId="5" fillId="4" borderId="2" xfId="0" applyFont="1" applyFill="1" applyBorder="1"/>
    <xf numFmtId="0" fontId="4" fillId="4" borderId="2" xfId="0" applyFont="1" applyFill="1" applyBorder="1"/>
    <xf numFmtId="164" fontId="4" fillId="4" borderId="2" xfId="0" applyNumberFormat="1" applyFont="1" applyFill="1" applyBorder="1"/>
    <xf numFmtId="3" fontId="4" fillId="4" borderId="2" xfId="0" applyNumberFormat="1" applyFont="1" applyFill="1" applyBorder="1"/>
    <xf numFmtId="0" fontId="6" fillId="0" borderId="0" xfId="0" applyFont="1"/>
    <xf numFmtId="0" fontId="3" fillId="2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165" fontId="9" fillId="0" borderId="1" xfId="0" applyNumberFormat="1" applyFont="1" applyBorder="1" applyAlignment="1">
      <alignment vertical="center"/>
    </xf>
    <xf numFmtId="166" fontId="9" fillId="0" borderId="1" xfId="0" applyNumberFormat="1" applyFont="1" applyBorder="1" applyAlignment="1">
      <alignment vertical="center"/>
    </xf>
    <xf numFmtId="0" fontId="9" fillId="3" borderId="1" xfId="0" applyFont="1" applyFill="1" applyBorder="1" applyAlignment="1">
      <alignment vertical="center"/>
    </xf>
    <xf numFmtId="165" fontId="9" fillId="3" borderId="1" xfId="0" applyNumberFormat="1" applyFont="1" applyFill="1" applyBorder="1" applyAlignment="1">
      <alignment vertical="center"/>
    </xf>
    <xf numFmtId="166" fontId="9" fillId="3" borderId="1" xfId="0" applyNumberFormat="1" applyFont="1" applyFill="1" applyBorder="1" applyAlignment="1">
      <alignment vertical="center"/>
    </xf>
    <xf numFmtId="0" fontId="10" fillId="5" borderId="1" xfId="1" applyBorder="1" applyAlignment="1">
      <alignment vertical="center"/>
    </xf>
    <xf numFmtId="165" fontId="10" fillId="5" borderId="1" xfId="1" applyNumberFormat="1" applyBorder="1" applyAlignment="1">
      <alignment vertical="center"/>
    </xf>
    <xf numFmtId="166" fontId="10" fillId="5" borderId="1" xfId="1" applyNumberFormat="1" applyBorder="1" applyAlignment="1">
      <alignment vertical="center"/>
    </xf>
    <xf numFmtId="0" fontId="10" fillId="5" borderId="0" xfId="1"/>
  </cellXfs>
  <cellStyles count="2">
    <cellStyle name="Neutro" xfId="1" builtinId="2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zoomScaleNormal="100" workbookViewId="0">
      <selection sqref="A1:F1"/>
    </sheetView>
  </sheetViews>
  <sheetFormatPr baseColWidth="10" defaultColWidth="8.6640625" defaultRowHeight="15" x14ac:dyDescent="0.2"/>
  <cols>
    <col min="1" max="1" width="14" customWidth="1"/>
    <col min="2" max="2" width="16" customWidth="1"/>
    <col min="3" max="3" width="30" customWidth="1"/>
    <col min="4" max="4" width="22" customWidth="1"/>
    <col min="5" max="5" width="16" customWidth="1"/>
    <col min="6" max="6" width="12" customWidth="1"/>
  </cols>
  <sheetData>
    <row r="1" spans="1:6" ht="21" x14ac:dyDescent="0.25">
      <c r="A1" s="4" t="s">
        <v>0</v>
      </c>
      <c r="B1" s="4"/>
      <c r="C1" s="4"/>
      <c r="D1" s="4"/>
      <c r="E1" s="4"/>
      <c r="F1" s="4"/>
    </row>
    <row r="3" spans="1:6" x14ac:dyDescent="0.2">
      <c r="A3" s="3" t="s">
        <v>1</v>
      </c>
      <c r="B3" s="3"/>
      <c r="C3" s="3"/>
      <c r="D3" s="3"/>
      <c r="E3" s="3"/>
      <c r="F3" s="3"/>
    </row>
    <row r="5" spans="1:6" ht="27.75" customHeight="1" x14ac:dyDescent="0.2">
      <c r="A5" s="5" t="s">
        <v>2</v>
      </c>
      <c r="B5" s="5" t="s">
        <v>3</v>
      </c>
      <c r="C5" s="5" t="s">
        <v>4</v>
      </c>
      <c r="D5" s="5" t="s">
        <v>5</v>
      </c>
    </row>
    <row r="6" spans="1:6" x14ac:dyDescent="0.2">
      <c r="A6" s="6" t="s">
        <v>6</v>
      </c>
      <c r="B6" s="7">
        <f>COUNTA(sandra!A5:A100)</f>
        <v>9</v>
      </c>
      <c r="C6" s="8">
        <f>SUM(sandra!E5:E100)</f>
        <v>8314794066</v>
      </c>
      <c r="D6" s="9">
        <f>SUM(sandra!G5:G100)</f>
        <v>1161</v>
      </c>
    </row>
    <row r="7" spans="1:6" x14ac:dyDescent="0.2">
      <c r="A7" s="10" t="s">
        <v>7</v>
      </c>
      <c r="B7" s="11">
        <f>COUNTA(adriana!A5:A100)</f>
        <v>9</v>
      </c>
      <c r="C7" s="12">
        <f>SUM(adriana!E5:E100)</f>
        <v>6953179766</v>
      </c>
      <c r="D7" s="13">
        <f>SUM(adriana!G5:G100)</f>
        <v>2896</v>
      </c>
    </row>
    <row r="8" spans="1:6" x14ac:dyDescent="0.2">
      <c r="A8" s="6" t="s">
        <v>8</v>
      </c>
      <c r="B8" s="7">
        <f>COUNTA(gislaine!A5:A100)</f>
        <v>9</v>
      </c>
      <c r="C8" s="8">
        <f>SUM(gislaine!E5:E100)</f>
        <v>6518176209</v>
      </c>
      <c r="D8" s="9">
        <f>SUM(gislaine!G5:G100)</f>
        <v>3137</v>
      </c>
    </row>
    <row r="9" spans="1:6" x14ac:dyDescent="0.2">
      <c r="A9" s="10" t="s">
        <v>9</v>
      </c>
      <c r="B9" s="11">
        <f>COUNTA(eduardo!A5:A100)</f>
        <v>8</v>
      </c>
      <c r="C9" s="12">
        <f>SUM(eduardo!E5:E100)</f>
        <v>5828208079</v>
      </c>
      <c r="D9" s="13">
        <f>SUM(eduardo!G5:G100)</f>
        <v>1905</v>
      </c>
    </row>
    <row r="10" spans="1:6" x14ac:dyDescent="0.2">
      <c r="A10" s="14" t="s">
        <v>10</v>
      </c>
      <c r="B10" s="15">
        <f>SUM(B6:B9)</f>
        <v>35</v>
      </c>
      <c r="C10" s="16">
        <f>SUM(C6:C9)</f>
        <v>27614358120</v>
      </c>
      <c r="D10" s="17">
        <f>SUM(D6:D9)</f>
        <v>9099</v>
      </c>
    </row>
    <row r="13" spans="1:6" ht="16" x14ac:dyDescent="0.2">
      <c r="A13" s="18" t="s">
        <v>11</v>
      </c>
    </row>
    <row r="14" spans="1:6" ht="16" x14ac:dyDescent="0.2">
      <c r="A14" s="19" t="s">
        <v>12</v>
      </c>
      <c r="B14" s="19" t="s">
        <v>6</v>
      </c>
      <c r="C14" s="19" t="s">
        <v>7</v>
      </c>
      <c r="D14" s="19" t="s">
        <v>8</v>
      </c>
      <c r="E14" s="19" t="s">
        <v>9</v>
      </c>
      <c r="F14" s="19" t="s">
        <v>13</v>
      </c>
    </row>
    <row r="15" spans="1:6" x14ac:dyDescent="0.2">
      <c r="A15" s="20" t="s">
        <v>14</v>
      </c>
      <c r="B15" s="21">
        <v>1</v>
      </c>
      <c r="C15" s="21">
        <v>0</v>
      </c>
      <c r="D15" s="21">
        <v>0</v>
      </c>
      <c r="E15" s="21">
        <v>0</v>
      </c>
      <c r="F15" s="20">
        <f t="shared" ref="F15:F24" si="0">SUM(B15:E15)</f>
        <v>1</v>
      </c>
    </row>
    <row r="16" spans="1:6" x14ac:dyDescent="0.2">
      <c r="A16" s="22" t="s">
        <v>15</v>
      </c>
      <c r="B16" s="23">
        <v>1</v>
      </c>
      <c r="C16" s="23">
        <v>0</v>
      </c>
      <c r="D16" s="23">
        <v>0</v>
      </c>
      <c r="E16" s="23">
        <v>0</v>
      </c>
      <c r="F16" s="22">
        <f t="shared" si="0"/>
        <v>1</v>
      </c>
    </row>
    <row r="17" spans="1:6" x14ac:dyDescent="0.2">
      <c r="A17" s="20" t="s">
        <v>16</v>
      </c>
      <c r="B17" s="21">
        <v>0</v>
      </c>
      <c r="C17" s="21">
        <v>0</v>
      </c>
      <c r="D17" s="21">
        <v>1</v>
      </c>
      <c r="E17" s="21">
        <v>0</v>
      </c>
      <c r="F17" s="20">
        <f t="shared" si="0"/>
        <v>1</v>
      </c>
    </row>
    <row r="18" spans="1:6" x14ac:dyDescent="0.2">
      <c r="A18" s="22" t="s">
        <v>17</v>
      </c>
      <c r="B18" s="23">
        <v>0</v>
      </c>
      <c r="C18" s="23">
        <v>0</v>
      </c>
      <c r="D18" s="23">
        <v>1</v>
      </c>
      <c r="E18" s="23">
        <v>1</v>
      </c>
      <c r="F18" s="22">
        <f t="shared" si="0"/>
        <v>2</v>
      </c>
    </row>
    <row r="19" spans="1:6" x14ac:dyDescent="0.2">
      <c r="A19" s="20" t="s">
        <v>18</v>
      </c>
      <c r="B19" s="21">
        <v>0</v>
      </c>
      <c r="C19" s="21">
        <v>1</v>
      </c>
      <c r="D19" s="21">
        <v>2</v>
      </c>
      <c r="E19" s="21">
        <v>0</v>
      </c>
      <c r="F19" s="20">
        <f t="shared" si="0"/>
        <v>3</v>
      </c>
    </row>
    <row r="20" spans="1:6" x14ac:dyDescent="0.2">
      <c r="A20" s="22" t="s">
        <v>19</v>
      </c>
      <c r="B20" s="23">
        <v>0</v>
      </c>
      <c r="C20" s="23">
        <v>1</v>
      </c>
      <c r="D20" s="23">
        <v>0</v>
      </c>
      <c r="E20" s="23">
        <v>1</v>
      </c>
      <c r="F20" s="22">
        <f t="shared" si="0"/>
        <v>2</v>
      </c>
    </row>
    <row r="21" spans="1:6" x14ac:dyDescent="0.2">
      <c r="A21" s="20" t="s">
        <v>20</v>
      </c>
      <c r="B21" s="21">
        <v>0</v>
      </c>
      <c r="C21" s="21">
        <v>0</v>
      </c>
      <c r="D21" s="21">
        <v>0</v>
      </c>
      <c r="E21" s="21">
        <v>1</v>
      </c>
      <c r="F21" s="20">
        <f t="shared" si="0"/>
        <v>1</v>
      </c>
    </row>
    <row r="22" spans="1:6" x14ac:dyDescent="0.2">
      <c r="A22" s="22" t="s">
        <v>21</v>
      </c>
      <c r="B22" s="23">
        <v>1</v>
      </c>
      <c r="C22" s="23">
        <v>4</v>
      </c>
      <c r="D22" s="23">
        <v>1</v>
      </c>
      <c r="E22" s="23">
        <v>1</v>
      </c>
      <c r="F22" s="22">
        <f t="shared" si="0"/>
        <v>7</v>
      </c>
    </row>
    <row r="23" spans="1:6" x14ac:dyDescent="0.2">
      <c r="A23" s="20" t="s">
        <v>22</v>
      </c>
      <c r="B23" s="21">
        <v>3</v>
      </c>
      <c r="C23" s="21">
        <v>0</v>
      </c>
      <c r="D23" s="21">
        <v>2</v>
      </c>
      <c r="E23" s="21">
        <v>2</v>
      </c>
      <c r="F23" s="20">
        <f t="shared" si="0"/>
        <v>7</v>
      </c>
    </row>
    <row r="24" spans="1:6" x14ac:dyDescent="0.2">
      <c r="A24" s="22" t="s">
        <v>23</v>
      </c>
      <c r="B24" s="23">
        <v>3</v>
      </c>
      <c r="C24" s="23">
        <v>3</v>
      </c>
      <c r="D24" s="23">
        <v>2</v>
      </c>
      <c r="E24" s="23">
        <v>2</v>
      </c>
      <c r="F24" s="22">
        <f t="shared" si="0"/>
        <v>10</v>
      </c>
    </row>
    <row r="26" spans="1:6" x14ac:dyDescent="0.2">
      <c r="A26" s="2" t="s">
        <v>24</v>
      </c>
      <c r="B26" s="2"/>
      <c r="C26" s="2"/>
      <c r="D26" s="2"/>
      <c r="E26" s="2"/>
      <c r="F26" s="2"/>
    </row>
  </sheetData>
  <mergeCells count="3">
    <mergeCell ref="A1:F1"/>
    <mergeCell ref="A3:F3"/>
    <mergeCell ref="A26:F2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13"/>
  <sheetViews>
    <sheetView tabSelected="1" zoomScale="171" zoomScaleNormal="100" workbookViewId="0">
      <pane xSplit="3" ySplit="4" topLeftCell="L5" activePane="bottomRight" state="frozen"/>
      <selection pane="topRight" activeCell="D1" sqref="D1"/>
      <selection pane="bottomLeft" activeCell="A5" sqref="A5"/>
      <selection pane="bottomRight" activeCell="C16" sqref="C16"/>
    </sheetView>
  </sheetViews>
  <sheetFormatPr baseColWidth="10" defaultColWidth="8.6640625" defaultRowHeight="15" x14ac:dyDescent="0.2"/>
  <cols>
    <col min="1" max="1" width="20" customWidth="1"/>
    <col min="2" max="2" width="42" customWidth="1"/>
    <col min="3" max="3" width="25" customWidth="1"/>
    <col min="4" max="4" width="10" customWidth="1"/>
    <col min="5" max="5" width="22" customWidth="1"/>
    <col min="6" max="6" width="20" customWidth="1"/>
    <col min="7" max="7" width="19.6640625" bestFit="1" customWidth="1"/>
    <col min="8" max="8" width="8" customWidth="1"/>
    <col min="9" max="9" width="20" customWidth="1"/>
    <col min="10" max="10" width="16" customWidth="1"/>
    <col min="11" max="11" width="10" customWidth="1"/>
    <col min="12" max="12" width="45" customWidth="1"/>
    <col min="13" max="13" width="14" customWidth="1"/>
    <col min="14" max="14" width="10" customWidth="1"/>
    <col min="15" max="15" width="30" customWidth="1"/>
    <col min="16" max="16" width="8" customWidth="1"/>
    <col min="17" max="17" width="22" customWidth="1"/>
    <col min="18" max="18" width="20" customWidth="1"/>
    <col min="19" max="19" width="18" customWidth="1"/>
    <col min="20" max="20" width="6" customWidth="1"/>
    <col min="21" max="21" width="12" customWidth="1"/>
    <col min="22" max="22" width="7" customWidth="1"/>
    <col min="23" max="23" width="14" customWidth="1"/>
    <col min="24" max="24" width="10" customWidth="1"/>
    <col min="25" max="25" width="7" customWidth="1"/>
    <col min="26" max="26" width="14" customWidth="1"/>
    <col min="27" max="27" width="10" customWidth="1"/>
    <col min="28" max="28" width="7" customWidth="1"/>
    <col min="29" max="29" width="14" customWidth="1"/>
    <col min="30" max="30" width="10" customWidth="1"/>
    <col min="31" max="31" width="7" customWidth="1"/>
    <col min="32" max="32" width="14" customWidth="1"/>
    <col min="33" max="33" width="10" customWidth="1"/>
    <col min="34" max="36" width="32" customWidth="1"/>
    <col min="37" max="37" width="28" customWidth="1"/>
    <col min="38" max="38" width="20" customWidth="1"/>
    <col min="39" max="39" width="7" customWidth="1"/>
    <col min="40" max="40" width="14" customWidth="1"/>
    <col min="41" max="41" width="28" customWidth="1"/>
    <col min="42" max="42" width="20" customWidth="1"/>
    <col min="43" max="43" width="7" customWidth="1"/>
    <col min="44" max="44" width="14" customWidth="1"/>
    <col min="45" max="45" width="28" customWidth="1"/>
    <col min="46" max="46" width="20" customWidth="1"/>
    <col min="47" max="47" width="7" customWidth="1"/>
    <col min="48" max="48" width="14" customWidth="1"/>
    <col min="49" max="49" width="40" customWidth="1"/>
    <col min="50" max="50" width="18" customWidth="1"/>
    <col min="51" max="51" width="8" customWidth="1"/>
  </cols>
  <sheetData>
    <row r="1" spans="1:51" ht="24" customHeight="1" x14ac:dyDescent="0.2">
      <c r="A1" s="1" t="s">
        <v>25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ht="18" customHeight="1" x14ac:dyDescent="0.2">
      <c r="A2" s="3" t="s">
        <v>26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</row>
    <row r="4" spans="1:51" ht="31.5" customHeight="1" x14ac:dyDescent="0.2">
      <c r="A4" s="5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33</v>
      </c>
      <c r="H4" s="5" t="s">
        <v>34</v>
      </c>
      <c r="I4" s="5" t="s">
        <v>35</v>
      </c>
      <c r="J4" s="5" t="s">
        <v>36</v>
      </c>
      <c r="K4" s="5" t="s">
        <v>37</v>
      </c>
      <c r="L4" s="5" t="s">
        <v>38</v>
      </c>
      <c r="M4" s="5" t="s">
        <v>39</v>
      </c>
      <c r="N4" s="5" t="s">
        <v>40</v>
      </c>
      <c r="O4" s="5" t="s">
        <v>41</v>
      </c>
      <c r="P4" s="5" t="s">
        <v>42</v>
      </c>
      <c r="Q4" s="5" t="s">
        <v>43</v>
      </c>
      <c r="R4" s="5" t="s">
        <v>44</v>
      </c>
      <c r="S4" s="5" t="s">
        <v>45</v>
      </c>
      <c r="T4" s="5" t="s">
        <v>12</v>
      </c>
      <c r="U4" s="5" t="s">
        <v>46</v>
      </c>
      <c r="V4" s="5" t="s">
        <v>47</v>
      </c>
      <c r="W4" s="5" t="s">
        <v>48</v>
      </c>
      <c r="X4" s="5" t="s">
        <v>49</v>
      </c>
      <c r="Y4" s="5" t="s">
        <v>50</v>
      </c>
      <c r="Z4" s="5" t="s">
        <v>51</v>
      </c>
      <c r="AA4" s="5" t="s">
        <v>52</v>
      </c>
      <c r="AB4" s="5" t="s">
        <v>53</v>
      </c>
      <c r="AC4" s="5" t="s">
        <v>54</v>
      </c>
      <c r="AD4" s="5" t="s">
        <v>55</v>
      </c>
      <c r="AE4" s="5" t="s">
        <v>56</v>
      </c>
      <c r="AF4" s="5" t="s">
        <v>57</v>
      </c>
      <c r="AG4" s="5" t="s">
        <v>58</v>
      </c>
      <c r="AH4" s="5" t="s">
        <v>59</v>
      </c>
      <c r="AI4" s="5" t="s">
        <v>60</v>
      </c>
      <c r="AJ4" s="5" t="s">
        <v>61</v>
      </c>
      <c r="AK4" s="5" t="s">
        <v>62</v>
      </c>
      <c r="AL4" s="5" t="s">
        <v>63</v>
      </c>
      <c r="AM4" s="5" t="s">
        <v>64</v>
      </c>
      <c r="AN4" s="5" t="s">
        <v>65</v>
      </c>
      <c r="AO4" s="5" t="s">
        <v>66</v>
      </c>
      <c r="AP4" s="5" t="s">
        <v>67</v>
      </c>
      <c r="AQ4" s="5" t="s">
        <v>68</v>
      </c>
      <c r="AR4" s="5" t="s">
        <v>69</v>
      </c>
      <c r="AS4" s="5" t="s">
        <v>70</v>
      </c>
      <c r="AT4" s="5" t="s">
        <v>71</v>
      </c>
      <c r="AU4" s="5" t="s">
        <v>72</v>
      </c>
      <c r="AV4" s="5" t="s">
        <v>73</v>
      </c>
      <c r="AW4" s="5" t="s">
        <v>74</v>
      </c>
      <c r="AX4" s="5" t="s">
        <v>75</v>
      </c>
      <c r="AY4" s="5" t="s">
        <v>76</v>
      </c>
    </row>
    <row r="5" spans="1:51" s="33" customFormat="1" ht="16" x14ac:dyDescent="0.2">
      <c r="A5" s="30" t="s">
        <v>77</v>
      </c>
      <c r="B5" s="30" t="s">
        <v>78</v>
      </c>
      <c r="C5" s="30"/>
      <c r="D5" s="30" t="s">
        <v>79</v>
      </c>
      <c r="E5" s="31">
        <v>2688665738</v>
      </c>
      <c r="F5" s="31">
        <v>408321804</v>
      </c>
      <c r="G5" s="32">
        <v>56</v>
      </c>
      <c r="H5" s="32">
        <v>784</v>
      </c>
      <c r="I5" s="30" t="s">
        <v>80</v>
      </c>
      <c r="J5" s="30" t="s">
        <v>81</v>
      </c>
      <c r="K5" s="30" t="s">
        <v>82</v>
      </c>
      <c r="L5" s="30" t="s">
        <v>83</v>
      </c>
      <c r="M5" s="30" t="s">
        <v>84</v>
      </c>
      <c r="N5" s="32">
        <v>1</v>
      </c>
      <c r="O5" s="30" t="s">
        <v>85</v>
      </c>
      <c r="P5" s="30" t="s">
        <v>86</v>
      </c>
      <c r="Q5" s="30" t="s">
        <v>87</v>
      </c>
      <c r="R5" s="30" t="s">
        <v>88</v>
      </c>
      <c r="S5" s="30" t="s">
        <v>89</v>
      </c>
      <c r="T5" s="30" t="s">
        <v>22</v>
      </c>
      <c r="U5" s="30" t="s">
        <v>90</v>
      </c>
      <c r="V5" s="30" t="s">
        <v>91</v>
      </c>
      <c r="W5" s="30" t="s">
        <v>92</v>
      </c>
      <c r="X5" s="30" t="s">
        <v>93</v>
      </c>
      <c r="Y5" s="30" t="s">
        <v>91</v>
      </c>
      <c r="Z5" s="30" t="s">
        <v>94</v>
      </c>
      <c r="AA5" s="30" t="s">
        <v>93</v>
      </c>
      <c r="AB5" s="30" t="s">
        <v>91</v>
      </c>
      <c r="AC5" s="30" t="s">
        <v>95</v>
      </c>
      <c r="AD5" s="30" t="s">
        <v>93</v>
      </c>
      <c r="AE5" s="30" t="s">
        <v>91</v>
      </c>
      <c r="AF5" s="30" t="s">
        <v>96</v>
      </c>
      <c r="AG5" s="30" t="s">
        <v>97</v>
      </c>
      <c r="AH5" s="30" t="s">
        <v>98</v>
      </c>
      <c r="AI5" s="30"/>
      <c r="AJ5" s="30"/>
      <c r="AK5" s="30" t="s">
        <v>99</v>
      </c>
      <c r="AL5" s="30" t="s">
        <v>100</v>
      </c>
      <c r="AM5" s="30" t="s">
        <v>91</v>
      </c>
      <c r="AN5" s="30" t="s">
        <v>101</v>
      </c>
      <c r="AO5" s="30" t="s">
        <v>102</v>
      </c>
      <c r="AP5" s="30" t="s">
        <v>103</v>
      </c>
      <c r="AQ5" s="30" t="s">
        <v>91</v>
      </c>
      <c r="AR5" s="30" t="s">
        <v>104</v>
      </c>
      <c r="AS5" s="30" t="s">
        <v>105</v>
      </c>
      <c r="AT5" s="30" t="s">
        <v>100</v>
      </c>
      <c r="AU5" s="30" t="s">
        <v>91</v>
      </c>
      <c r="AV5" s="30" t="s">
        <v>106</v>
      </c>
      <c r="AW5" s="30" t="s">
        <v>107</v>
      </c>
      <c r="AX5" s="30" t="s">
        <v>108</v>
      </c>
      <c r="AY5" s="30" t="s">
        <v>109</v>
      </c>
    </row>
    <row r="6" spans="1:51" x14ac:dyDescent="0.2">
      <c r="A6" s="27" t="s">
        <v>110</v>
      </c>
      <c r="B6" s="27" t="s">
        <v>111</v>
      </c>
      <c r="C6" s="27"/>
      <c r="D6" s="27" t="s">
        <v>79</v>
      </c>
      <c r="E6" s="28">
        <v>991219896</v>
      </c>
      <c r="F6" s="28">
        <v>264138460</v>
      </c>
      <c r="G6" s="29"/>
      <c r="H6" s="29">
        <v>838</v>
      </c>
      <c r="I6" s="27" t="s">
        <v>80</v>
      </c>
      <c r="J6" s="27" t="s">
        <v>81</v>
      </c>
      <c r="K6" s="27" t="s">
        <v>82</v>
      </c>
      <c r="L6" s="27" t="s">
        <v>83</v>
      </c>
      <c r="M6" s="27" t="s">
        <v>112</v>
      </c>
      <c r="N6" s="29">
        <v>0</v>
      </c>
      <c r="O6" s="27" t="s">
        <v>113</v>
      </c>
      <c r="P6" s="27" t="s">
        <v>114</v>
      </c>
      <c r="Q6" s="27" t="s">
        <v>115</v>
      </c>
      <c r="R6" s="27" t="s">
        <v>116</v>
      </c>
      <c r="S6" s="27" t="s">
        <v>117</v>
      </c>
      <c r="T6" s="27" t="s">
        <v>22</v>
      </c>
      <c r="U6" s="27" t="s">
        <v>118</v>
      </c>
      <c r="V6" s="27" t="s">
        <v>91</v>
      </c>
      <c r="W6" s="27" t="s">
        <v>119</v>
      </c>
      <c r="X6" s="27" t="s">
        <v>93</v>
      </c>
      <c r="Y6" s="27" t="s">
        <v>91</v>
      </c>
      <c r="Z6" s="27" t="s">
        <v>120</v>
      </c>
      <c r="AA6" s="27" t="s">
        <v>97</v>
      </c>
      <c r="AB6" s="27"/>
      <c r="AC6" s="27"/>
      <c r="AD6" s="27"/>
      <c r="AE6" s="27"/>
      <c r="AF6" s="27"/>
      <c r="AG6" s="27"/>
      <c r="AH6" s="27" t="s">
        <v>121</v>
      </c>
      <c r="AI6" s="27" t="s">
        <v>122</v>
      </c>
      <c r="AJ6" s="27"/>
      <c r="AK6" s="27" t="s">
        <v>123</v>
      </c>
      <c r="AL6" s="27" t="s">
        <v>100</v>
      </c>
      <c r="AM6" s="27" t="s">
        <v>124</v>
      </c>
      <c r="AN6" s="27" t="s">
        <v>125</v>
      </c>
      <c r="AO6" s="27" t="s">
        <v>126</v>
      </c>
      <c r="AP6" s="27" t="s">
        <v>100</v>
      </c>
      <c r="AQ6" s="27" t="s">
        <v>124</v>
      </c>
      <c r="AR6" s="27" t="s">
        <v>127</v>
      </c>
      <c r="AS6" s="27"/>
      <c r="AT6" s="27"/>
      <c r="AU6" s="27"/>
      <c r="AV6" s="27"/>
      <c r="AW6" s="27" t="s">
        <v>128</v>
      </c>
      <c r="AX6" s="27"/>
      <c r="AY6" s="27" t="s">
        <v>109</v>
      </c>
    </row>
    <row r="7" spans="1:51" x14ac:dyDescent="0.2">
      <c r="A7" s="24" t="s">
        <v>129</v>
      </c>
      <c r="B7" s="24" t="s">
        <v>130</v>
      </c>
      <c r="C7" s="24" t="s">
        <v>131</v>
      </c>
      <c r="D7" s="24" t="s">
        <v>79</v>
      </c>
      <c r="E7" s="25">
        <v>899143689</v>
      </c>
      <c r="F7" s="25">
        <v>110882968</v>
      </c>
      <c r="G7" s="26">
        <v>188</v>
      </c>
      <c r="H7" s="26">
        <v>920</v>
      </c>
      <c r="I7" s="24" t="s">
        <v>80</v>
      </c>
      <c r="J7" s="24" t="s">
        <v>81</v>
      </c>
      <c r="K7" s="24" t="s">
        <v>82</v>
      </c>
      <c r="L7" s="24" t="s">
        <v>83</v>
      </c>
      <c r="M7" s="24" t="s">
        <v>132</v>
      </c>
      <c r="N7" s="26">
        <v>0</v>
      </c>
      <c r="O7" s="24" t="s">
        <v>133</v>
      </c>
      <c r="P7" s="24" t="s">
        <v>134</v>
      </c>
      <c r="Q7" s="24"/>
      <c r="R7" s="24" t="s">
        <v>135</v>
      </c>
      <c r="S7" s="24" t="s">
        <v>136</v>
      </c>
      <c r="T7" s="24" t="s">
        <v>14</v>
      </c>
      <c r="U7" s="24" t="s">
        <v>137</v>
      </c>
      <c r="V7" s="24" t="s">
        <v>138</v>
      </c>
      <c r="W7" s="24" t="s">
        <v>139</v>
      </c>
      <c r="X7" s="24" t="s">
        <v>97</v>
      </c>
      <c r="Y7" s="24"/>
      <c r="Z7" s="24"/>
      <c r="AA7" s="24"/>
      <c r="AB7" s="24"/>
      <c r="AC7" s="24"/>
      <c r="AD7" s="24"/>
      <c r="AE7" s="24"/>
      <c r="AF7" s="24"/>
      <c r="AG7" s="24"/>
      <c r="AH7" s="24" t="s">
        <v>140</v>
      </c>
      <c r="AI7" s="24"/>
      <c r="AJ7" s="24"/>
      <c r="AK7" s="24" t="s">
        <v>141</v>
      </c>
      <c r="AL7" s="24" t="s">
        <v>142</v>
      </c>
      <c r="AM7" s="24" t="s">
        <v>143</v>
      </c>
      <c r="AN7" s="24" t="s">
        <v>144</v>
      </c>
      <c r="AO7" s="24" t="s">
        <v>145</v>
      </c>
      <c r="AP7" s="24" t="s">
        <v>100</v>
      </c>
      <c r="AQ7" s="24" t="s">
        <v>138</v>
      </c>
      <c r="AR7" s="24" t="s">
        <v>146</v>
      </c>
      <c r="AS7" s="24" t="s">
        <v>147</v>
      </c>
      <c r="AT7" s="24" t="s">
        <v>100</v>
      </c>
      <c r="AU7" s="24" t="s">
        <v>148</v>
      </c>
      <c r="AV7" s="24" t="s">
        <v>149</v>
      </c>
      <c r="AW7" s="24" t="s">
        <v>150</v>
      </c>
      <c r="AX7" s="24" t="s">
        <v>151</v>
      </c>
      <c r="AY7" s="24" t="s">
        <v>109</v>
      </c>
    </row>
    <row r="8" spans="1:51" x14ac:dyDescent="0.2">
      <c r="A8" s="27" t="s">
        <v>152</v>
      </c>
      <c r="B8" s="27" t="s">
        <v>153</v>
      </c>
      <c r="C8" s="27"/>
      <c r="D8" s="27" t="s">
        <v>79</v>
      </c>
      <c r="E8" s="28">
        <v>768457597</v>
      </c>
      <c r="F8" s="28">
        <v>150000000</v>
      </c>
      <c r="G8" s="29"/>
      <c r="H8" s="29">
        <v>920</v>
      </c>
      <c r="I8" s="27" t="s">
        <v>80</v>
      </c>
      <c r="J8" s="27" t="s">
        <v>81</v>
      </c>
      <c r="K8" s="27" t="s">
        <v>154</v>
      </c>
      <c r="L8" s="27" t="s">
        <v>155</v>
      </c>
      <c r="M8" s="27" t="s">
        <v>156</v>
      </c>
      <c r="N8" s="29">
        <v>2</v>
      </c>
      <c r="O8" s="27" t="s">
        <v>157</v>
      </c>
      <c r="P8" s="27" t="s">
        <v>158</v>
      </c>
      <c r="Q8" s="27" t="s">
        <v>159</v>
      </c>
      <c r="R8" s="27" t="s">
        <v>160</v>
      </c>
      <c r="S8" s="27" t="s">
        <v>161</v>
      </c>
      <c r="T8" s="27" t="s">
        <v>23</v>
      </c>
      <c r="U8" s="27" t="s">
        <v>162</v>
      </c>
      <c r="V8" s="27" t="s">
        <v>124</v>
      </c>
      <c r="W8" s="27" t="s">
        <v>163</v>
      </c>
      <c r="X8" s="27" t="s">
        <v>97</v>
      </c>
      <c r="Y8" s="27"/>
      <c r="Z8" s="27"/>
      <c r="AA8" s="27"/>
      <c r="AB8" s="27"/>
      <c r="AC8" s="27"/>
      <c r="AD8" s="27"/>
      <c r="AE8" s="27"/>
      <c r="AF8" s="27"/>
      <c r="AG8" s="27"/>
      <c r="AH8" s="27" t="s">
        <v>164</v>
      </c>
      <c r="AI8" s="27" t="s">
        <v>165</v>
      </c>
      <c r="AJ8" s="27" t="s">
        <v>166</v>
      </c>
      <c r="AK8" s="27" t="s">
        <v>167</v>
      </c>
      <c r="AL8" s="27" t="s">
        <v>100</v>
      </c>
      <c r="AM8" s="27" t="s">
        <v>168</v>
      </c>
      <c r="AN8" s="27" t="s">
        <v>169</v>
      </c>
      <c r="AO8" s="27" t="s">
        <v>170</v>
      </c>
      <c r="AP8" s="27" t="s">
        <v>103</v>
      </c>
      <c r="AQ8" s="27" t="s">
        <v>124</v>
      </c>
      <c r="AR8" s="27" t="s">
        <v>171</v>
      </c>
      <c r="AS8" s="27" t="s">
        <v>172</v>
      </c>
      <c r="AT8" s="27" t="s">
        <v>100</v>
      </c>
      <c r="AU8" s="27" t="s">
        <v>168</v>
      </c>
      <c r="AV8" s="27" t="s">
        <v>173</v>
      </c>
      <c r="AW8" s="27"/>
      <c r="AX8" s="27" t="s">
        <v>174</v>
      </c>
      <c r="AY8" s="27" t="s">
        <v>109</v>
      </c>
    </row>
    <row r="9" spans="1:51" x14ac:dyDescent="0.2">
      <c r="A9" s="24" t="s">
        <v>175</v>
      </c>
      <c r="B9" s="24" t="s">
        <v>176</v>
      </c>
      <c r="C9" s="24"/>
      <c r="D9" s="24" t="s">
        <v>79</v>
      </c>
      <c r="E9" s="25">
        <v>723719465</v>
      </c>
      <c r="F9" s="25">
        <v>27532515</v>
      </c>
      <c r="G9" s="26"/>
      <c r="H9" s="26">
        <v>913</v>
      </c>
      <c r="I9" s="24" t="s">
        <v>80</v>
      </c>
      <c r="J9" s="24" t="s">
        <v>81</v>
      </c>
      <c r="K9" s="24" t="s">
        <v>154</v>
      </c>
      <c r="L9" s="24" t="s">
        <v>155</v>
      </c>
      <c r="M9" s="24" t="s">
        <v>177</v>
      </c>
      <c r="N9" s="26">
        <v>2</v>
      </c>
      <c r="O9" s="24" t="s">
        <v>157</v>
      </c>
      <c r="P9" s="24" t="s">
        <v>158</v>
      </c>
      <c r="Q9" s="24" t="s">
        <v>178</v>
      </c>
      <c r="R9" s="24" t="s">
        <v>160</v>
      </c>
      <c r="S9" s="24" t="s">
        <v>161</v>
      </c>
      <c r="T9" s="24" t="s">
        <v>23</v>
      </c>
      <c r="U9" s="24" t="s">
        <v>162</v>
      </c>
      <c r="V9" s="24" t="s">
        <v>124</v>
      </c>
      <c r="W9" s="24" t="s">
        <v>179</v>
      </c>
      <c r="X9" s="24" t="s">
        <v>97</v>
      </c>
      <c r="Y9" s="24"/>
      <c r="Z9" s="24"/>
      <c r="AA9" s="24"/>
      <c r="AB9" s="24"/>
      <c r="AC9" s="24"/>
      <c r="AD9" s="24"/>
      <c r="AE9" s="24"/>
      <c r="AF9" s="24"/>
      <c r="AG9" s="24"/>
      <c r="AH9" s="24" t="s">
        <v>180</v>
      </c>
      <c r="AI9" s="24" t="s">
        <v>181</v>
      </c>
      <c r="AJ9" s="24" t="s">
        <v>182</v>
      </c>
      <c r="AK9" s="24" t="s">
        <v>170</v>
      </c>
      <c r="AL9" s="24" t="s">
        <v>100</v>
      </c>
      <c r="AM9" s="24" t="s">
        <v>124</v>
      </c>
      <c r="AN9" s="24" t="s">
        <v>171</v>
      </c>
      <c r="AO9" s="24" t="s">
        <v>172</v>
      </c>
      <c r="AP9" s="24" t="s">
        <v>100</v>
      </c>
      <c r="AQ9" s="24" t="s">
        <v>168</v>
      </c>
      <c r="AR9" s="24" t="s">
        <v>173</v>
      </c>
      <c r="AS9" s="24" t="s">
        <v>183</v>
      </c>
      <c r="AT9" s="24" t="s">
        <v>103</v>
      </c>
      <c r="AU9" s="24" t="s">
        <v>184</v>
      </c>
      <c r="AV9" s="24" t="s">
        <v>185</v>
      </c>
      <c r="AW9" s="24" t="s">
        <v>186</v>
      </c>
      <c r="AX9" s="24" t="s">
        <v>187</v>
      </c>
      <c r="AY9" s="24" t="s">
        <v>188</v>
      </c>
    </row>
    <row r="10" spans="1:51" x14ac:dyDescent="0.2">
      <c r="A10" s="27" t="s">
        <v>189</v>
      </c>
      <c r="B10" s="27" t="s">
        <v>190</v>
      </c>
      <c r="C10" s="27"/>
      <c r="D10" s="27" t="s">
        <v>79</v>
      </c>
      <c r="E10" s="28">
        <v>614390284</v>
      </c>
      <c r="F10" s="28">
        <v>39028200</v>
      </c>
      <c r="G10" s="29">
        <v>1</v>
      </c>
      <c r="H10" s="29">
        <v>847</v>
      </c>
      <c r="I10" s="27" t="s">
        <v>80</v>
      </c>
      <c r="J10" s="27" t="s">
        <v>81</v>
      </c>
      <c r="K10" s="27" t="s">
        <v>191</v>
      </c>
      <c r="L10" s="27" t="s">
        <v>192</v>
      </c>
      <c r="M10" s="27" t="s">
        <v>193</v>
      </c>
      <c r="N10" s="29">
        <v>1</v>
      </c>
      <c r="O10" s="27" t="s">
        <v>194</v>
      </c>
      <c r="P10" s="27" t="s">
        <v>195</v>
      </c>
      <c r="Q10" s="27" t="s">
        <v>196</v>
      </c>
      <c r="R10" s="27" t="s">
        <v>197</v>
      </c>
      <c r="S10" s="27" t="s">
        <v>198</v>
      </c>
      <c r="T10" s="27" t="s">
        <v>23</v>
      </c>
      <c r="U10" s="27" t="s">
        <v>199</v>
      </c>
      <c r="V10" s="27" t="s">
        <v>124</v>
      </c>
      <c r="W10" s="27" t="s">
        <v>200</v>
      </c>
      <c r="X10" s="27" t="s">
        <v>93</v>
      </c>
      <c r="Y10" s="27" t="s">
        <v>201</v>
      </c>
      <c r="Z10" s="27" t="s">
        <v>202</v>
      </c>
      <c r="AA10" s="27" t="s">
        <v>97</v>
      </c>
      <c r="AB10" s="27"/>
      <c r="AC10" s="27"/>
      <c r="AD10" s="27"/>
      <c r="AE10" s="27"/>
      <c r="AF10" s="27"/>
      <c r="AG10" s="27"/>
      <c r="AH10" s="27" t="s">
        <v>203</v>
      </c>
      <c r="AI10" s="27" t="s">
        <v>204</v>
      </c>
      <c r="AJ10" s="27" t="s">
        <v>205</v>
      </c>
      <c r="AK10" s="27" t="s">
        <v>206</v>
      </c>
      <c r="AL10" s="27" t="s">
        <v>100</v>
      </c>
      <c r="AM10" s="27" t="s">
        <v>124</v>
      </c>
      <c r="AN10" s="27" t="s">
        <v>207</v>
      </c>
      <c r="AO10" s="27" t="s">
        <v>208</v>
      </c>
      <c r="AP10" s="27" t="s">
        <v>100</v>
      </c>
      <c r="AQ10" s="27"/>
      <c r="AR10" s="27"/>
      <c r="AS10" s="27"/>
      <c r="AT10" s="27"/>
      <c r="AU10" s="27"/>
      <c r="AV10" s="27"/>
      <c r="AW10" s="27"/>
      <c r="AX10" s="27" t="s">
        <v>209</v>
      </c>
      <c r="AY10" s="27" t="s">
        <v>109</v>
      </c>
    </row>
    <row r="11" spans="1:51" x14ac:dyDescent="0.2">
      <c r="A11" s="24" t="s">
        <v>210</v>
      </c>
      <c r="B11" s="24" t="s">
        <v>211</v>
      </c>
      <c r="C11" s="24" t="s">
        <v>212</v>
      </c>
      <c r="D11" s="24" t="s">
        <v>79</v>
      </c>
      <c r="E11" s="25">
        <v>565608816</v>
      </c>
      <c r="F11" s="25">
        <v>21500000</v>
      </c>
      <c r="G11" s="26">
        <v>246</v>
      </c>
      <c r="H11" s="26">
        <v>523</v>
      </c>
      <c r="I11" s="24" t="s">
        <v>213</v>
      </c>
      <c r="J11" s="24" t="s">
        <v>81</v>
      </c>
      <c r="K11" s="24" t="s">
        <v>82</v>
      </c>
      <c r="L11" s="24" t="s">
        <v>83</v>
      </c>
      <c r="M11" s="24" t="s">
        <v>214</v>
      </c>
      <c r="N11" s="26">
        <v>2</v>
      </c>
      <c r="O11" s="24" t="s">
        <v>215</v>
      </c>
      <c r="P11" s="24" t="s">
        <v>195</v>
      </c>
      <c r="Q11" s="24" t="s">
        <v>216</v>
      </c>
      <c r="R11" s="24" t="s">
        <v>217</v>
      </c>
      <c r="S11" s="24" t="s">
        <v>218</v>
      </c>
      <c r="T11" s="24" t="s">
        <v>15</v>
      </c>
      <c r="U11" s="24" t="s">
        <v>219</v>
      </c>
      <c r="V11" s="24" t="s">
        <v>220</v>
      </c>
      <c r="W11" s="24" t="s">
        <v>221</v>
      </c>
      <c r="X11" s="24" t="s">
        <v>93</v>
      </c>
      <c r="Y11" s="24" t="s">
        <v>220</v>
      </c>
      <c r="Z11" s="24" t="s">
        <v>222</v>
      </c>
      <c r="AA11" s="24" t="s">
        <v>93</v>
      </c>
      <c r="AB11" s="24" t="s">
        <v>220</v>
      </c>
      <c r="AC11" s="24" t="s">
        <v>223</v>
      </c>
      <c r="AD11" s="24" t="s">
        <v>93</v>
      </c>
      <c r="AE11" s="24" t="s">
        <v>220</v>
      </c>
      <c r="AF11" s="24" t="s">
        <v>224</v>
      </c>
      <c r="AG11" s="24" t="s">
        <v>97</v>
      </c>
      <c r="AH11" s="24" t="s">
        <v>225</v>
      </c>
      <c r="AI11" s="24" t="s">
        <v>226</v>
      </c>
      <c r="AJ11" s="24"/>
      <c r="AK11" s="24" t="s">
        <v>227</v>
      </c>
      <c r="AL11" s="24" t="s">
        <v>103</v>
      </c>
      <c r="AM11" s="24" t="s">
        <v>220</v>
      </c>
      <c r="AN11" s="24" t="s">
        <v>228</v>
      </c>
      <c r="AO11" s="24" t="s">
        <v>229</v>
      </c>
      <c r="AP11" s="24" t="s">
        <v>100</v>
      </c>
      <c r="AQ11" s="24" t="s">
        <v>220</v>
      </c>
      <c r="AR11" s="24" t="s">
        <v>230</v>
      </c>
      <c r="AS11" s="24" t="s">
        <v>231</v>
      </c>
      <c r="AT11" s="24" t="s">
        <v>100</v>
      </c>
      <c r="AU11" s="24"/>
      <c r="AV11" s="24"/>
      <c r="AW11" s="24" t="s">
        <v>232</v>
      </c>
      <c r="AX11" s="24" t="s">
        <v>233</v>
      </c>
      <c r="AY11" s="24" t="s">
        <v>109</v>
      </c>
    </row>
    <row r="12" spans="1:51" x14ac:dyDescent="0.2">
      <c r="A12" s="27" t="s">
        <v>234</v>
      </c>
      <c r="B12" s="27" t="s">
        <v>235</v>
      </c>
      <c r="C12" s="27"/>
      <c r="D12" s="27" t="s">
        <v>79</v>
      </c>
      <c r="E12" s="28">
        <v>547227865</v>
      </c>
      <c r="F12" s="28">
        <v>52495102</v>
      </c>
      <c r="G12" s="29">
        <v>77</v>
      </c>
      <c r="H12" s="29">
        <v>805</v>
      </c>
      <c r="I12" s="27" t="s">
        <v>80</v>
      </c>
      <c r="J12" s="27" t="s">
        <v>81</v>
      </c>
      <c r="K12" s="27" t="s">
        <v>82</v>
      </c>
      <c r="L12" s="27" t="s">
        <v>83</v>
      </c>
      <c r="M12" s="27" t="s">
        <v>236</v>
      </c>
      <c r="N12" s="29">
        <v>0</v>
      </c>
      <c r="O12" s="27" t="s">
        <v>237</v>
      </c>
      <c r="P12" s="27" t="s">
        <v>238</v>
      </c>
      <c r="Q12" s="27"/>
      <c r="R12" s="27" t="s">
        <v>88</v>
      </c>
      <c r="S12" s="27" t="s">
        <v>239</v>
      </c>
      <c r="T12" s="27" t="s">
        <v>22</v>
      </c>
      <c r="U12" s="27" t="s">
        <v>240</v>
      </c>
      <c r="V12" s="27" t="s">
        <v>91</v>
      </c>
      <c r="W12" s="27" t="s">
        <v>241</v>
      </c>
      <c r="X12" s="27" t="s">
        <v>97</v>
      </c>
      <c r="Y12" s="27"/>
      <c r="Z12" s="27"/>
      <c r="AA12" s="27"/>
      <c r="AB12" s="27"/>
      <c r="AC12" s="27"/>
      <c r="AD12" s="27"/>
      <c r="AE12" s="27"/>
      <c r="AF12" s="27"/>
      <c r="AG12" s="27"/>
      <c r="AH12" s="27" t="s">
        <v>242</v>
      </c>
      <c r="AI12" s="27"/>
      <c r="AJ12" s="27"/>
      <c r="AK12" s="27" t="s">
        <v>243</v>
      </c>
      <c r="AL12" s="27" t="s">
        <v>244</v>
      </c>
      <c r="AM12" s="27" t="s">
        <v>245</v>
      </c>
      <c r="AN12" s="27" t="s">
        <v>246</v>
      </c>
      <c r="AO12" s="27" t="s">
        <v>247</v>
      </c>
      <c r="AP12" s="27" t="s">
        <v>244</v>
      </c>
      <c r="AQ12" s="27" t="s">
        <v>124</v>
      </c>
      <c r="AR12" s="27" t="s">
        <v>248</v>
      </c>
      <c r="AS12" s="27" t="s">
        <v>249</v>
      </c>
      <c r="AT12" s="27" t="s">
        <v>244</v>
      </c>
      <c r="AU12" s="27"/>
      <c r="AV12" s="27"/>
      <c r="AW12" s="27" t="s">
        <v>250</v>
      </c>
      <c r="AX12" s="27" t="s">
        <v>251</v>
      </c>
      <c r="AY12" s="27" t="s">
        <v>109</v>
      </c>
    </row>
    <row r="13" spans="1:51" x14ac:dyDescent="0.2">
      <c r="A13" s="24" t="s">
        <v>252</v>
      </c>
      <c r="B13" s="24" t="s">
        <v>253</v>
      </c>
      <c r="C13" s="24"/>
      <c r="D13" s="24" t="s">
        <v>79</v>
      </c>
      <c r="E13" s="25">
        <v>516360716</v>
      </c>
      <c r="F13" s="25">
        <v>64161000</v>
      </c>
      <c r="G13" s="26">
        <v>593</v>
      </c>
      <c r="H13" s="26">
        <v>822</v>
      </c>
      <c r="I13" s="24" t="s">
        <v>80</v>
      </c>
      <c r="J13" s="24" t="s">
        <v>81</v>
      </c>
      <c r="K13" s="24" t="s">
        <v>254</v>
      </c>
      <c r="L13" s="24" t="s">
        <v>255</v>
      </c>
      <c r="M13" s="24" t="s">
        <v>256</v>
      </c>
      <c r="N13" s="26">
        <v>4</v>
      </c>
      <c r="O13" s="24" t="s">
        <v>257</v>
      </c>
      <c r="P13" s="24" t="s">
        <v>258</v>
      </c>
      <c r="Q13" s="24"/>
      <c r="R13" s="24" t="s">
        <v>259</v>
      </c>
      <c r="S13" s="24" t="s">
        <v>260</v>
      </c>
      <c r="T13" s="24" t="s">
        <v>21</v>
      </c>
      <c r="U13" s="24" t="s">
        <v>261</v>
      </c>
      <c r="V13" s="24" t="s">
        <v>262</v>
      </c>
      <c r="W13" s="24" t="s">
        <v>263</v>
      </c>
      <c r="X13" s="24" t="s">
        <v>93</v>
      </c>
      <c r="Y13" s="24" t="s">
        <v>262</v>
      </c>
      <c r="Z13" s="24" t="s">
        <v>264</v>
      </c>
      <c r="AA13" s="24" t="s">
        <v>93</v>
      </c>
      <c r="AB13" s="24" t="s">
        <v>262</v>
      </c>
      <c r="AC13" s="24" t="s">
        <v>265</v>
      </c>
      <c r="AD13" s="24" t="s">
        <v>93</v>
      </c>
      <c r="AE13" s="24" t="s">
        <v>262</v>
      </c>
      <c r="AF13" s="24" t="s">
        <v>266</v>
      </c>
      <c r="AG13" s="24" t="s">
        <v>97</v>
      </c>
      <c r="AH13" s="24" t="s">
        <v>267</v>
      </c>
      <c r="AI13" s="24"/>
      <c r="AJ13" s="24"/>
      <c r="AK13" s="24" t="s">
        <v>268</v>
      </c>
      <c r="AL13" s="24" t="s">
        <v>244</v>
      </c>
      <c r="AM13" s="24" t="s">
        <v>91</v>
      </c>
      <c r="AN13" s="24" t="s">
        <v>269</v>
      </c>
      <c r="AO13" s="24" t="s">
        <v>270</v>
      </c>
      <c r="AP13" s="24" t="s">
        <v>100</v>
      </c>
      <c r="AQ13" s="24" t="s">
        <v>262</v>
      </c>
      <c r="AR13" s="24" t="s">
        <v>271</v>
      </c>
      <c r="AS13" s="24" t="s">
        <v>272</v>
      </c>
      <c r="AT13" s="24" t="s">
        <v>244</v>
      </c>
      <c r="AU13" s="24" t="s">
        <v>91</v>
      </c>
      <c r="AV13" s="24" t="s">
        <v>273</v>
      </c>
      <c r="AW13" s="24" t="s">
        <v>274</v>
      </c>
      <c r="AX13" s="24" t="s">
        <v>275</v>
      </c>
      <c r="AY13" s="24" t="s">
        <v>109</v>
      </c>
    </row>
  </sheetData>
  <autoFilter ref="A4:AY13" xr:uid="{00000000-0009-0000-0000-000001000000}"/>
  <mergeCells count="2">
    <mergeCell ref="A1:AY1"/>
    <mergeCell ref="A2:AY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Y13"/>
  <sheetViews>
    <sheetView zoomScale="179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B19" sqref="B19"/>
    </sheetView>
  </sheetViews>
  <sheetFormatPr baseColWidth="10" defaultColWidth="8.6640625" defaultRowHeight="15" x14ac:dyDescent="0.2"/>
  <cols>
    <col min="1" max="1" width="20" customWidth="1"/>
    <col min="2" max="2" width="42" customWidth="1"/>
    <col min="3" max="3" width="25" customWidth="1"/>
    <col min="4" max="4" width="10" customWidth="1"/>
    <col min="5" max="5" width="22" customWidth="1"/>
    <col min="6" max="6" width="20" customWidth="1"/>
    <col min="7" max="7" width="14" customWidth="1"/>
    <col min="8" max="8" width="8" customWidth="1"/>
    <col min="9" max="9" width="20" customWidth="1"/>
    <col min="10" max="10" width="16" customWidth="1"/>
    <col min="11" max="11" width="10" customWidth="1"/>
    <col min="12" max="12" width="45" customWidth="1"/>
    <col min="13" max="13" width="14" customWidth="1"/>
    <col min="14" max="14" width="10" customWidth="1"/>
    <col min="15" max="15" width="30" customWidth="1"/>
    <col min="16" max="16" width="8" customWidth="1"/>
    <col min="17" max="17" width="22" customWidth="1"/>
    <col min="18" max="18" width="20" customWidth="1"/>
    <col min="19" max="19" width="18" customWidth="1"/>
    <col min="20" max="20" width="6" customWidth="1"/>
    <col min="21" max="21" width="12" customWidth="1"/>
    <col min="22" max="22" width="7" customWidth="1"/>
    <col min="23" max="23" width="14" customWidth="1"/>
    <col min="24" max="24" width="10" customWidth="1"/>
    <col min="25" max="25" width="7" customWidth="1"/>
    <col min="26" max="26" width="14" customWidth="1"/>
    <col min="27" max="27" width="10" customWidth="1"/>
    <col min="28" max="28" width="7" customWidth="1"/>
    <col min="29" max="29" width="14" customWidth="1"/>
    <col min="30" max="30" width="10" customWidth="1"/>
    <col min="31" max="31" width="7" customWidth="1"/>
    <col min="32" max="32" width="14" customWidth="1"/>
    <col min="33" max="33" width="10" customWidth="1"/>
    <col min="34" max="36" width="32" customWidth="1"/>
    <col min="37" max="37" width="28" customWidth="1"/>
    <col min="38" max="38" width="20" customWidth="1"/>
    <col min="39" max="39" width="7" customWidth="1"/>
    <col min="40" max="40" width="14" customWidth="1"/>
    <col min="41" max="41" width="28" customWidth="1"/>
    <col min="42" max="42" width="20" customWidth="1"/>
    <col min="43" max="43" width="7" customWidth="1"/>
    <col min="44" max="44" width="14" customWidth="1"/>
    <col min="45" max="45" width="28" customWidth="1"/>
    <col min="46" max="46" width="20" customWidth="1"/>
    <col min="47" max="47" width="7" customWidth="1"/>
    <col min="48" max="48" width="14" customWidth="1"/>
    <col min="49" max="49" width="40" customWidth="1"/>
    <col min="50" max="50" width="18" customWidth="1"/>
    <col min="51" max="51" width="8" customWidth="1"/>
  </cols>
  <sheetData>
    <row r="1" spans="1:51" ht="24" customHeight="1" x14ac:dyDescent="0.2">
      <c r="A1" s="1" t="s">
        <v>276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ht="18" customHeight="1" x14ac:dyDescent="0.2">
      <c r="A2" s="3" t="s">
        <v>26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</row>
    <row r="4" spans="1:51" ht="31.5" customHeight="1" x14ac:dyDescent="0.2">
      <c r="A4" s="5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33</v>
      </c>
      <c r="H4" s="5" t="s">
        <v>34</v>
      </c>
      <c r="I4" s="5" t="s">
        <v>35</v>
      </c>
      <c r="J4" s="5" t="s">
        <v>36</v>
      </c>
      <c r="K4" s="5" t="s">
        <v>37</v>
      </c>
      <c r="L4" s="5" t="s">
        <v>38</v>
      </c>
      <c r="M4" s="5" t="s">
        <v>39</v>
      </c>
      <c r="N4" s="5" t="s">
        <v>40</v>
      </c>
      <c r="O4" s="5" t="s">
        <v>41</v>
      </c>
      <c r="P4" s="5" t="s">
        <v>42</v>
      </c>
      <c r="Q4" s="5" t="s">
        <v>43</v>
      </c>
      <c r="R4" s="5" t="s">
        <v>44</v>
      </c>
      <c r="S4" s="5" t="s">
        <v>45</v>
      </c>
      <c r="T4" s="5" t="s">
        <v>12</v>
      </c>
      <c r="U4" s="5" t="s">
        <v>46</v>
      </c>
      <c r="V4" s="5" t="s">
        <v>47</v>
      </c>
      <c r="W4" s="5" t="s">
        <v>48</v>
      </c>
      <c r="X4" s="5" t="s">
        <v>49</v>
      </c>
      <c r="Y4" s="5" t="s">
        <v>50</v>
      </c>
      <c r="Z4" s="5" t="s">
        <v>51</v>
      </c>
      <c r="AA4" s="5" t="s">
        <v>52</v>
      </c>
      <c r="AB4" s="5" t="s">
        <v>53</v>
      </c>
      <c r="AC4" s="5" t="s">
        <v>54</v>
      </c>
      <c r="AD4" s="5" t="s">
        <v>55</v>
      </c>
      <c r="AE4" s="5" t="s">
        <v>56</v>
      </c>
      <c r="AF4" s="5" t="s">
        <v>57</v>
      </c>
      <c r="AG4" s="5" t="s">
        <v>58</v>
      </c>
      <c r="AH4" s="5" t="s">
        <v>59</v>
      </c>
      <c r="AI4" s="5" t="s">
        <v>60</v>
      </c>
      <c r="AJ4" s="5" t="s">
        <v>61</v>
      </c>
      <c r="AK4" s="5" t="s">
        <v>62</v>
      </c>
      <c r="AL4" s="5" t="s">
        <v>63</v>
      </c>
      <c r="AM4" s="5" t="s">
        <v>64</v>
      </c>
      <c r="AN4" s="5" t="s">
        <v>65</v>
      </c>
      <c r="AO4" s="5" t="s">
        <v>66</v>
      </c>
      <c r="AP4" s="5" t="s">
        <v>67</v>
      </c>
      <c r="AQ4" s="5" t="s">
        <v>68</v>
      </c>
      <c r="AR4" s="5" t="s">
        <v>69</v>
      </c>
      <c r="AS4" s="5" t="s">
        <v>70</v>
      </c>
      <c r="AT4" s="5" t="s">
        <v>71</v>
      </c>
      <c r="AU4" s="5" t="s">
        <v>72</v>
      </c>
      <c r="AV4" s="5" t="s">
        <v>73</v>
      </c>
      <c r="AW4" s="5" t="s">
        <v>74</v>
      </c>
      <c r="AX4" s="5" t="s">
        <v>75</v>
      </c>
      <c r="AY4" s="5" t="s">
        <v>76</v>
      </c>
    </row>
    <row r="5" spans="1:51" x14ac:dyDescent="0.2">
      <c r="A5" s="24" t="s">
        <v>277</v>
      </c>
      <c r="B5" s="24" t="s">
        <v>278</v>
      </c>
      <c r="C5" s="24"/>
      <c r="D5" s="24" t="s">
        <v>79</v>
      </c>
      <c r="E5" s="25">
        <v>1480697425</v>
      </c>
      <c r="F5" s="25">
        <v>142646285</v>
      </c>
      <c r="G5" s="26">
        <v>728</v>
      </c>
      <c r="H5" s="26">
        <v>879</v>
      </c>
      <c r="I5" s="24" t="s">
        <v>80</v>
      </c>
      <c r="J5" s="24" t="s">
        <v>81</v>
      </c>
      <c r="K5" s="24" t="s">
        <v>279</v>
      </c>
      <c r="L5" s="24" t="s">
        <v>280</v>
      </c>
      <c r="M5" s="24" t="s">
        <v>281</v>
      </c>
      <c r="N5" s="26">
        <v>2</v>
      </c>
      <c r="O5" s="24" t="s">
        <v>282</v>
      </c>
      <c r="P5" s="24" t="s">
        <v>283</v>
      </c>
      <c r="Q5" s="24" t="s">
        <v>284</v>
      </c>
      <c r="R5" s="24" t="s">
        <v>285</v>
      </c>
      <c r="S5" s="24" t="s">
        <v>286</v>
      </c>
      <c r="T5" s="24" t="s">
        <v>21</v>
      </c>
      <c r="U5" s="24" t="s">
        <v>287</v>
      </c>
      <c r="V5" s="24" t="s">
        <v>288</v>
      </c>
      <c r="W5" s="24" t="s">
        <v>289</v>
      </c>
      <c r="X5" s="24" t="s">
        <v>93</v>
      </c>
      <c r="Y5" s="24" t="s">
        <v>124</v>
      </c>
      <c r="Z5" s="24" t="s">
        <v>290</v>
      </c>
      <c r="AA5" s="24" t="s">
        <v>93</v>
      </c>
      <c r="AB5" s="24" t="s">
        <v>288</v>
      </c>
      <c r="AC5" s="24" t="s">
        <v>291</v>
      </c>
      <c r="AD5" s="24" t="s">
        <v>97</v>
      </c>
      <c r="AE5" s="24"/>
      <c r="AF5" s="24"/>
      <c r="AG5" s="24"/>
      <c r="AH5" s="24" t="s">
        <v>292</v>
      </c>
      <c r="AI5" s="24"/>
      <c r="AJ5" s="24"/>
      <c r="AK5" s="24" t="s">
        <v>293</v>
      </c>
      <c r="AL5" s="24" t="s">
        <v>100</v>
      </c>
      <c r="AM5" s="24" t="s">
        <v>288</v>
      </c>
      <c r="AN5" s="24" t="s">
        <v>294</v>
      </c>
      <c r="AO5" s="24" t="s">
        <v>295</v>
      </c>
      <c r="AP5" s="24" t="s">
        <v>100</v>
      </c>
      <c r="AQ5" s="24" t="s">
        <v>288</v>
      </c>
      <c r="AR5" s="24" t="s">
        <v>296</v>
      </c>
      <c r="AS5" s="24" t="s">
        <v>297</v>
      </c>
      <c r="AT5" s="24" t="s">
        <v>244</v>
      </c>
      <c r="AU5" s="24" t="s">
        <v>288</v>
      </c>
      <c r="AV5" s="24" t="s">
        <v>298</v>
      </c>
      <c r="AW5" s="24" t="s">
        <v>299</v>
      </c>
      <c r="AX5" s="24" t="s">
        <v>300</v>
      </c>
      <c r="AY5" s="24" t="s">
        <v>109</v>
      </c>
    </row>
    <row r="6" spans="1:51" x14ac:dyDescent="0.2">
      <c r="A6" s="27" t="s">
        <v>301</v>
      </c>
      <c r="B6" s="27" t="s">
        <v>302</v>
      </c>
      <c r="C6" s="27"/>
      <c r="D6" s="27" t="s">
        <v>79</v>
      </c>
      <c r="E6" s="28">
        <v>963560005</v>
      </c>
      <c r="F6" s="28">
        <v>147884146</v>
      </c>
      <c r="G6" s="29">
        <v>463</v>
      </c>
      <c r="H6" s="29">
        <v>717</v>
      </c>
      <c r="I6" s="27" t="s">
        <v>80</v>
      </c>
      <c r="J6" s="27" t="s">
        <v>81</v>
      </c>
      <c r="K6" s="27" t="s">
        <v>303</v>
      </c>
      <c r="L6" s="27" t="s">
        <v>304</v>
      </c>
      <c r="M6" s="27" t="s">
        <v>305</v>
      </c>
      <c r="N6" s="29">
        <v>2</v>
      </c>
      <c r="O6" s="27" t="s">
        <v>306</v>
      </c>
      <c r="P6" s="27" t="s">
        <v>307</v>
      </c>
      <c r="Q6" s="27"/>
      <c r="R6" s="27" t="s">
        <v>308</v>
      </c>
      <c r="S6" s="27" t="s">
        <v>309</v>
      </c>
      <c r="T6" s="27" t="s">
        <v>19</v>
      </c>
      <c r="U6" s="27" t="s">
        <v>310</v>
      </c>
      <c r="V6" s="27" t="s">
        <v>245</v>
      </c>
      <c r="W6" s="27" t="s">
        <v>311</v>
      </c>
      <c r="X6" s="27" t="s">
        <v>93</v>
      </c>
      <c r="Y6" s="27" t="s">
        <v>245</v>
      </c>
      <c r="Z6" s="27" t="s">
        <v>312</v>
      </c>
      <c r="AA6" s="27" t="s">
        <v>93</v>
      </c>
      <c r="AB6" s="27" t="s">
        <v>245</v>
      </c>
      <c r="AC6" s="27" t="s">
        <v>313</v>
      </c>
      <c r="AD6" s="27" t="s">
        <v>93</v>
      </c>
      <c r="AE6" s="27" t="s">
        <v>314</v>
      </c>
      <c r="AF6" s="27" t="s">
        <v>315</v>
      </c>
      <c r="AG6" s="27" t="s">
        <v>97</v>
      </c>
      <c r="AH6" s="27" t="s">
        <v>316</v>
      </c>
      <c r="AI6" s="27" t="s">
        <v>317</v>
      </c>
      <c r="AJ6" s="27" t="s">
        <v>318</v>
      </c>
      <c r="AK6" s="27" t="s">
        <v>319</v>
      </c>
      <c r="AL6" s="27" t="s">
        <v>320</v>
      </c>
      <c r="AM6" s="27" t="s">
        <v>245</v>
      </c>
      <c r="AN6" s="27" t="s">
        <v>321</v>
      </c>
      <c r="AO6" s="27" t="s">
        <v>322</v>
      </c>
      <c r="AP6" s="27" t="s">
        <v>142</v>
      </c>
      <c r="AQ6" s="27" t="s">
        <v>245</v>
      </c>
      <c r="AR6" s="27" t="s">
        <v>323</v>
      </c>
      <c r="AS6" s="27" t="s">
        <v>324</v>
      </c>
      <c r="AT6" s="27" t="s">
        <v>325</v>
      </c>
      <c r="AU6" s="27"/>
      <c r="AV6" s="27"/>
      <c r="AW6" s="27" t="s">
        <v>326</v>
      </c>
      <c r="AX6" s="27" t="s">
        <v>327</v>
      </c>
      <c r="AY6" s="27" t="s">
        <v>188</v>
      </c>
    </row>
    <row r="7" spans="1:51" x14ac:dyDescent="0.2">
      <c r="A7" s="24" t="s">
        <v>328</v>
      </c>
      <c r="B7" s="24" t="s">
        <v>329</v>
      </c>
      <c r="C7" s="24"/>
      <c r="D7" s="24" t="s">
        <v>79</v>
      </c>
      <c r="E7" s="25">
        <v>847221694</v>
      </c>
      <c r="F7" s="25">
        <v>53100000</v>
      </c>
      <c r="G7" s="26">
        <v>70</v>
      </c>
      <c r="H7" s="26">
        <v>847</v>
      </c>
      <c r="I7" s="24" t="s">
        <v>80</v>
      </c>
      <c r="J7" s="24" t="s">
        <v>81</v>
      </c>
      <c r="K7" s="24" t="s">
        <v>154</v>
      </c>
      <c r="L7" s="24" t="s">
        <v>155</v>
      </c>
      <c r="M7" s="24" t="s">
        <v>330</v>
      </c>
      <c r="N7" s="26">
        <v>0</v>
      </c>
      <c r="O7" s="24" t="s">
        <v>331</v>
      </c>
      <c r="P7" s="24" t="s">
        <v>332</v>
      </c>
      <c r="Q7" s="24"/>
      <c r="R7" s="24" t="s">
        <v>333</v>
      </c>
      <c r="S7" s="24" t="s">
        <v>334</v>
      </c>
      <c r="T7" s="24" t="s">
        <v>21</v>
      </c>
      <c r="U7" s="24" t="s">
        <v>335</v>
      </c>
      <c r="V7" s="24" t="s">
        <v>262</v>
      </c>
      <c r="W7" s="24" t="s">
        <v>336</v>
      </c>
      <c r="X7" s="24" t="s">
        <v>93</v>
      </c>
      <c r="Y7" s="24" t="s">
        <v>262</v>
      </c>
      <c r="Z7" s="24" t="s">
        <v>337</v>
      </c>
      <c r="AA7" s="24" t="s">
        <v>93</v>
      </c>
      <c r="AB7" s="24" t="s">
        <v>262</v>
      </c>
      <c r="AC7" s="24" t="s">
        <v>338</v>
      </c>
      <c r="AD7" s="24" t="s">
        <v>93</v>
      </c>
      <c r="AE7" s="24" t="s">
        <v>262</v>
      </c>
      <c r="AF7" s="24" t="s">
        <v>339</v>
      </c>
      <c r="AG7" s="24" t="s">
        <v>97</v>
      </c>
      <c r="AH7" s="24" t="s">
        <v>340</v>
      </c>
      <c r="AI7" s="24"/>
      <c r="AJ7" s="24"/>
      <c r="AK7" s="24" t="s">
        <v>341</v>
      </c>
      <c r="AL7" s="24" t="s">
        <v>244</v>
      </c>
      <c r="AM7" s="24" t="s">
        <v>342</v>
      </c>
      <c r="AN7" s="24" t="s">
        <v>343</v>
      </c>
      <c r="AO7" s="24" t="s">
        <v>344</v>
      </c>
      <c r="AP7" s="24" t="s">
        <v>100</v>
      </c>
      <c r="AQ7" s="24" t="s">
        <v>262</v>
      </c>
      <c r="AR7" s="24" t="s">
        <v>345</v>
      </c>
      <c r="AS7" s="24" t="s">
        <v>346</v>
      </c>
      <c r="AT7" s="24" t="s">
        <v>244</v>
      </c>
      <c r="AU7" s="24" t="s">
        <v>262</v>
      </c>
      <c r="AV7" s="24" t="s">
        <v>347</v>
      </c>
      <c r="AW7" s="24"/>
      <c r="AX7" s="24" t="s">
        <v>348</v>
      </c>
      <c r="AY7" s="24" t="s">
        <v>109</v>
      </c>
    </row>
    <row r="8" spans="1:51" x14ac:dyDescent="0.2">
      <c r="A8" s="27" t="s">
        <v>349</v>
      </c>
      <c r="B8" s="27" t="s">
        <v>350</v>
      </c>
      <c r="C8" s="27"/>
      <c r="D8" s="27" t="s">
        <v>79</v>
      </c>
      <c r="E8" s="28">
        <v>766355199</v>
      </c>
      <c r="F8" s="28">
        <v>42811631</v>
      </c>
      <c r="G8" s="29">
        <v>13</v>
      </c>
      <c r="H8" s="29">
        <v>728</v>
      </c>
      <c r="I8" s="27" t="s">
        <v>80</v>
      </c>
      <c r="J8" s="27" t="s">
        <v>81</v>
      </c>
      <c r="K8" s="27" t="s">
        <v>351</v>
      </c>
      <c r="L8" s="27" t="s">
        <v>352</v>
      </c>
      <c r="M8" s="27" t="s">
        <v>353</v>
      </c>
      <c r="N8" s="29">
        <v>1</v>
      </c>
      <c r="O8" s="27" t="s">
        <v>354</v>
      </c>
      <c r="P8" s="27" t="s">
        <v>355</v>
      </c>
      <c r="Q8" s="27" t="s">
        <v>356</v>
      </c>
      <c r="R8" s="27" t="s">
        <v>88</v>
      </c>
      <c r="S8" s="27" t="s">
        <v>357</v>
      </c>
      <c r="T8" s="27" t="s">
        <v>21</v>
      </c>
      <c r="U8" s="27" t="s">
        <v>358</v>
      </c>
      <c r="V8" s="27" t="s">
        <v>262</v>
      </c>
      <c r="W8" s="27" t="s">
        <v>359</v>
      </c>
      <c r="X8" s="27" t="s">
        <v>93</v>
      </c>
      <c r="Y8" s="27" t="s">
        <v>262</v>
      </c>
      <c r="Z8" s="27" t="s">
        <v>360</v>
      </c>
      <c r="AA8" s="27" t="s">
        <v>93</v>
      </c>
      <c r="AB8" s="27" t="s">
        <v>262</v>
      </c>
      <c r="AC8" s="27" t="s">
        <v>361</v>
      </c>
      <c r="AD8" s="27" t="s">
        <v>93</v>
      </c>
      <c r="AE8" s="27" t="s">
        <v>288</v>
      </c>
      <c r="AF8" s="27" t="s">
        <v>362</v>
      </c>
      <c r="AG8" s="27" t="s">
        <v>97</v>
      </c>
      <c r="AH8" s="27" t="s">
        <v>363</v>
      </c>
      <c r="AI8" s="27" t="s">
        <v>364</v>
      </c>
      <c r="AJ8" s="27"/>
      <c r="AK8" s="27" t="s">
        <v>365</v>
      </c>
      <c r="AL8" s="27" t="s">
        <v>244</v>
      </c>
      <c r="AM8" s="27" t="s">
        <v>288</v>
      </c>
      <c r="AN8" s="27" t="s">
        <v>366</v>
      </c>
      <c r="AO8" s="27" t="s">
        <v>367</v>
      </c>
      <c r="AP8" s="27" t="s">
        <v>103</v>
      </c>
      <c r="AQ8" s="27" t="s">
        <v>288</v>
      </c>
      <c r="AR8" s="27" t="s">
        <v>368</v>
      </c>
      <c r="AS8" s="27" t="s">
        <v>369</v>
      </c>
      <c r="AT8" s="27" t="s">
        <v>244</v>
      </c>
      <c r="AU8" s="27" t="s">
        <v>288</v>
      </c>
      <c r="AV8" s="27" t="s">
        <v>370</v>
      </c>
      <c r="AW8" s="27" t="s">
        <v>371</v>
      </c>
      <c r="AX8" s="27" t="s">
        <v>372</v>
      </c>
      <c r="AY8" s="27" t="s">
        <v>109</v>
      </c>
    </row>
    <row r="9" spans="1:51" s="33" customFormat="1" ht="16" x14ac:dyDescent="0.2">
      <c r="A9" s="30" t="s">
        <v>373</v>
      </c>
      <c r="B9" s="30" t="s">
        <v>374</v>
      </c>
      <c r="C9" s="30"/>
      <c r="D9" s="30" t="s">
        <v>79</v>
      </c>
      <c r="E9" s="31">
        <v>670021325</v>
      </c>
      <c r="F9" s="31">
        <v>140012637</v>
      </c>
      <c r="G9" s="32">
        <v>312</v>
      </c>
      <c r="H9" s="32">
        <v>741</v>
      </c>
      <c r="I9" s="30" t="s">
        <v>80</v>
      </c>
      <c r="J9" s="30" t="s">
        <v>81</v>
      </c>
      <c r="K9" s="30" t="s">
        <v>82</v>
      </c>
      <c r="L9" s="30" t="s">
        <v>83</v>
      </c>
      <c r="M9" s="30" t="s">
        <v>375</v>
      </c>
      <c r="N9" s="32">
        <v>2</v>
      </c>
      <c r="O9" s="30" t="s">
        <v>376</v>
      </c>
      <c r="P9" s="30" t="s">
        <v>377</v>
      </c>
      <c r="Q9" s="30"/>
      <c r="R9" s="30" t="s">
        <v>378</v>
      </c>
      <c r="S9" s="30" t="s">
        <v>379</v>
      </c>
      <c r="T9" s="30" t="s">
        <v>18</v>
      </c>
      <c r="U9" s="30" t="s">
        <v>380</v>
      </c>
      <c r="V9" s="30" t="s">
        <v>381</v>
      </c>
      <c r="W9" s="30" t="s">
        <v>382</v>
      </c>
      <c r="X9" s="30" t="s">
        <v>97</v>
      </c>
      <c r="Y9" s="30"/>
      <c r="Z9" s="30"/>
      <c r="AA9" s="30"/>
      <c r="AB9" s="30"/>
      <c r="AC9" s="30"/>
      <c r="AD9" s="30"/>
      <c r="AE9" s="30"/>
      <c r="AF9" s="30"/>
      <c r="AG9" s="30"/>
      <c r="AH9" s="30" t="s">
        <v>383</v>
      </c>
      <c r="AI9" s="30" t="s">
        <v>384</v>
      </c>
      <c r="AJ9" s="30" t="s">
        <v>385</v>
      </c>
      <c r="AK9" s="30" t="s">
        <v>386</v>
      </c>
      <c r="AL9" s="30" t="s">
        <v>244</v>
      </c>
      <c r="AM9" s="30"/>
      <c r="AN9" s="30"/>
      <c r="AO9" s="30" t="s">
        <v>387</v>
      </c>
      <c r="AP9" s="30" t="s">
        <v>103</v>
      </c>
      <c r="AQ9" s="30" t="s">
        <v>381</v>
      </c>
      <c r="AR9" s="30" t="s">
        <v>388</v>
      </c>
      <c r="AS9" s="30" t="s">
        <v>389</v>
      </c>
      <c r="AT9" s="30" t="s">
        <v>244</v>
      </c>
      <c r="AU9" s="30" t="s">
        <v>91</v>
      </c>
      <c r="AV9" s="30" t="s">
        <v>390</v>
      </c>
      <c r="AW9" s="30" t="s">
        <v>391</v>
      </c>
      <c r="AX9" s="30" t="s">
        <v>392</v>
      </c>
      <c r="AY9" s="30" t="s">
        <v>109</v>
      </c>
    </row>
    <row r="10" spans="1:51" x14ac:dyDescent="0.2">
      <c r="A10" s="27" t="s">
        <v>393</v>
      </c>
      <c r="B10" s="27" t="s">
        <v>394</v>
      </c>
      <c r="C10" s="27"/>
      <c r="D10" s="27" t="s">
        <v>79</v>
      </c>
      <c r="E10" s="28">
        <v>611877120</v>
      </c>
      <c r="F10" s="28">
        <v>12000000</v>
      </c>
      <c r="G10" s="29">
        <v>338</v>
      </c>
      <c r="H10" s="29">
        <v>908</v>
      </c>
      <c r="I10" s="27" t="s">
        <v>80</v>
      </c>
      <c r="J10" s="27" t="s">
        <v>81</v>
      </c>
      <c r="K10" s="27" t="s">
        <v>191</v>
      </c>
      <c r="L10" s="27" t="s">
        <v>192</v>
      </c>
      <c r="M10" s="27" t="s">
        <v>395</v>
      </c>
      <c r="N10" s="29">
        <v>0</v>
      </c>
      <c r="O10" s="27" t="s">
        <v>396</v>
      </c>
      <c r="P10" s="27" t="s">
        <v>397</v>
      </c>
      <c r="Q10" s="27" t="s">
        <v>398</v>
      </c>
      <c r="R10" s="27" t="s">
        <v>399</v>
      </c>
      <c r="S10" s="27" t="s">
        <v>400</v>
      </c>
      <c r="T10" s="27" t="s">
        <v>21</v>
      </c>
      <c r="U10" s="27" t="s">
        <v>401</v>
      </c>
      <c r="V10" s="27" t="s">
        <v>288</v>
      </c>
      <c r="W10" s="27" t="s">
        <v>402</v>
      </c>
      <c r="X10" s="27" t="s">
        <v>97</v>
      </c>
      <c r="Y10" s="27" t="s">
        <v>288</v>
      </c>
      <c r="Z10" s="27" t="s">
        <v>403</v>
      </c>
      <c r="AA10" s="27" t="s">
        <v>93</v>
      </c>
      <c r="AB10" s="27" t="s">
        <v>288</v>
      </c>
      <c r="AC10" s="27" t="s">
        <v>404</v>
      </c>
      <c r="AD10" s="27" t="s">
        <v>93</v>
      </c>
      <c r="AE10" s="27" t="s">
        <v>288</v>
      </c>
      <c r="AF10" s="27" t="s">
        <v>405</v>
      </c>
      <c r="AG10" s="27" t="s">
        <v>93</v>
      </c>
      <c r="AH10" s="27" t="s">
        <v>406</v>
      </c>
      <c r="AI10" s="27" t="s">
        <v>407</v>
      </c>
      <c r="AJ10" s="27" t="s">
        <v>408</v>
      </c>
      <c r="AK10" s="27" t="s">
        <v>409</v>
      </c>
      <c r="AL10" s="27" t="s">
        <v>103</v>
      </c>
      <c r="AM10" s="27" t="s">
        <v>288</v>
      </c>
      <c r="AN10" s="27" t="s">
        <v>410</v>
      </c>
      <c r="AO10" s="27" t="s">
        <v>411</v>
      </c>
      <c r="AP10" s="27" t="s">
        <v>100</v>
      </c>
      <c r="AQ10" s="27" t="s">
        <v>288</v>
      </c>
      <c r="AR10" s="27" t="s">
        <v>412</v>
      </c>
      <c r="AS10" s="27" t="s">
        <v>413</v>
      </c>
      <c r="AT10" s="27" t="s">
        <v>100</v>
      </c>
      <c r="AU10" s="27" t="s">
        <v>288</v>
      </c>
      <c r="AV10" s="27" t="s">
        <v>414</v>
      </c>
      <c r="AW10" s="27" t="s">
        <v>415</v>
      </c>
      <c r="AX10" s="27" t="s">
        <v>416</v>
      </c>
      <c r="AY10" s="27" t="s">
        <v>109</v>
      </c>
    </row>
    <row r="11" spans="1:51" x14ac:dyDescent="0.2">
      <c r="A11" s="24" t="s">
        <v>417</v>
      </c>
      <c r="B11" s="24" t="s">
        <v>418</v>
      </c>
      <c r="C11" s="24"/>
      <c r="D11" s="24" t="s">
        <v>79</v>
      </c>
      <c r="E11" s="25">
        <v>564742678</v>
      </c>
      <c r="F11" s="25">
        <v>100000000</v>
      </c>
      <c r="G11" s="26">
        <v>324</v>
      </c>
      <c r="H11" s="26">
        <v>862</v>
      </c>
      <c r="I11" s="24" t="s">
        <v>80</v>
      </c>
      <c r="J11" s="24" t="s">
        <v>81</v>
      </c>
      <c r="K11" s="24" t="s">
        <v>82</v>
      </c>
      <c r="L11" s="24" t="s">
        <v>83</v>
      </c>
      <c r="M11" s="24" t="s">
        <v>419</v>
      </c>
      <c r="N11" s="26">
        <v>0</v>
      </c>
      <c r="O11" s="24" t="s">
        <v>420</v>
      </c>
      <c r="P11" s="24"/>
      <c r="Q11" s="24" t="s">
        <v>421</v>
      </c>
      <c r="R11" s="24" t="s">
        <v>422</v>
      </c>
      <c r="S11" s="24" t="s">
        <v>423</v>
      </c>
      <c r="T11" s="24" t="s">
        <v>23</v>
      </c>
      <c r="U11" s="24" t="s">
        <v>424</v>
      </c>
      <c r="V11" s="24" t="s">
        <v>168</v>
      </c>
      <c r="W11" s="24" t="s">
        <v>425</v>
      </c>
      <c r="X11" s="24" t="s">
        <v>93</v>
      </c>
      <c r="Y11" s="24" t="s">
        <v>168</v>
      </c>
      <c r="Z11" s="24" t="s">
        <v>426</v>
      </c>
      <c r="AA11" s="24" t="s">
        <v>93</v>
      </c>
      <c r="AB11" s="24" t="s">
        <v>168</v>
      </c>
      <c r="AC11" s="24" t="s">
        <v>427</v>
      </c>
      <c r="AD11" s="24" t="s">
        <v>93</v>
      </c>
      <c r="AE11" s="24" t="s">
        <v>168</v>
      </c>
      <c r="AF11" s="24" t="s">
        <v>428</v>
      </c>
      <c r="AG11" s="24" t="s">
        <v>97</v>
      </c>
      <c r="AH11" s="24" t="s">
        <v>429</v>
      </c>
      <c r="AI11" s="24"/>
      <c r="AJ11" s="24"/>
      <c r="AK11" s="24" t="s">
        <v>430</v>
      </c>
      <c r="AL11" s="24" t="s">
        <v>100</v>
      </c>
      <c r="AM11" s="24" t="s">
        <v>245</v>
      </c>
      <c r="AN11" s="24" t="s">
        <v>431</v>
      </c>
      <c r="AO11" s="24" t="s">
        <v>432</v>
      </c>
      <c r="AP11" s="24" t="s">
        <v>100</v>
      </c>
      <c r="AQ11" s="24" t="s">
        <v>433</v>
      </c>
      <c r="AR11" s="24" t="s">
        <v>434</v>
      </c>
      <c r="AS11" s="24"/>
      <c r="AT11" s="24"/>
      <c r="AU11" s="24"/>
      <c r="AV11" s="24"/>
      <c r="AW11" s="24" t="s">
        <v>435</v>
      </c>
      <c r="AX11" s="24" t="s">
        <v>436</v>
      </c>
      <c r="AY11" s="24" t="s">
        <v>109</v>
      </c>
    </row>
    <row r="12" spans="1:51" x14ac:dyDescent="0.2">
      <c r="A12" s="27" t="s">
        <v>437</v>
      </c>
      <c r="B12" s="27" t="s">
        <v>438</v>
      </c>
      <c r="C12" s="27" t="s">
        <v>439</v>
      </c>
      <c r="D12" s="27" t="s">
        <v>79</v>
      </c>
      <c r="E12" s="28">
        <v>541430250</v>
      </c>
      <c r="F12" s="28">
        <v>465143877</v>
      </c>
      <c r="G12" s="29">
        <v>72</v>
      </c>
      <c r="H12" s="29">
        <v>675</v>
      </c>
      <c r="I12" s="27" t="s">
        <v>213</v>
      </c>
      <c r="J12" s="27" t="s">
        <v>81</v>
      </c>
      <c r="K12" s="27" t="s">
        <v>351</v>
      </c>
      <c r="L12" s="27" t="s">
        <v>352</v>
      </c>
      <c r="M12" s="27" t="s">
        <v>440</v>
      </c>
      <c r="N12" s="29">
        <v>14</v>
      </c>
      <c r="O12" s="27" t="s">
        <v>441</v>
      </c>
      <c r="P12" s="27" t="s">
        <v>442</v>
      </c>
      <c r="Q12" s="27" t="s">
        <v>443</v>
      </c>
      <c r="R12" s="27" t="s">
        <v>444</v>
      </c>
      <c r="S12" s="27" t="s">
        <v>445</v>
      </c>
      <c r="T12" s="27" t="s">
        <v>23</v>
      </c>
      <c r="U12" s="27" t="s">
        <v>446</v>
      </c>
      <c r="V12" s="27" t="s">
        <v>201</v>
      </c>
      <c r="W12" s="27" t="s">
        <v>447</v>
      </c>
      <c r="X12" s="27" t="s">
        <v>93</v>
      </c>
      <c r="Y12" s="27" t="s">
        <v>201</v>
      </c>
      <c r="Z12" s="27" t="s">
        <v>448</v>
      </c>
      <c r="AA12" s="27" t="s">
        <v>93</v>
      </c>
      <c r="AB12" s="27" t="s">
        <v>124</v>
      </c>
      <c r="AC12" s="27" t="s">
        <v>449</v>
      </c>
      <c r="AD12" s="27" t="s">
        <v>97</v>
      </c>
      <c r="AE12" s="27"/>
      <c r="AF12" s="27"/>
      <c r="AG12" s="27"/>
      <c r="AH12" s="27" t="s">
        <v>450</v>
      </c>
      <c r="AI12" s="27" t="s">
        <v>451</v>
      </c>
      <c r="AJ12" s="27" t="s">
        <v>452</v>
      </c>
      <c r="AK12" s="27" t="s">
        <v>453</v>
      </c>
      <c r="AL12" s="27" t="s">
        <v>100</v>
      </c>
      <c r="AM12" s="27" t="s">
        <v>201</v>
      </c>
      <c r="AN12" s="27" t="s">
        <v>454</v>
      </c>
      <c r="AO12" s="27" t="s">
        <v>455</v>
      </c>
      <c r="AP12" s="27" t="s">
        <v>100</v>
      </c>
      <c r="AQ12" s="27" t="s">
        <v>124</v>
      </c>
      <c r="AR12" s="27" t="s">
        <v>456</v>
      </c>
      <c r="AS12" s="27"/>
      <c r="AT12" s="27"/>
      <c r="AU12" s="27"/>
      <c r="AV12" s="27"/>
      <c r="AW12" s="27" t="s">
        <v>457</v>
      </c>
      <c r="AX12" s="27" t="s">
        <v>458</v>
      </c>
      <c r="AY12" s="27" t="s">
        <v>188</v>
      </c>
    </row>
    <row r="13" spans="1:51" x14ac:dyDescent="0.2">
      <c r="A13" s="24" t="s">
        <v>459</v>
      </c>
      <c r="B13" s="24" t="s">
        <v>460</v>
      </c>
      <c r="C13" s="24" t="s">
        <v>461</v>
      </c>
      <c r="D13" s="24" t="s">
        <v>79</v>
      </c>
      <c r="E13" s="25">
        <v>507274070</v>
      </c>
      <c r="F13" s="25">
        <v>79874298</v>
      </c>
      <c r="G13" s="26">
        <v>576</v>
      </c>
      <c r="H13" s="26">
        <v>209</v>
      </c>
      <c r="I13" s="24" t="s">
        <v>462</v>
      </c>
      <c r="J13" s="24" t="s">
        <v>81</v>
      </c>
      <c r="K13" s="24" t="s">
        <v>463</v>
      </c>
      <c r="L13" s="24" t="s">
        <v>464</v>
      </c>
      <c r="M13" s="24" t="s">
        <v>465</v>
      </c>
      <c r="N13" s="26">
        <v>4</v>
      </c>
      <c r="O13" s="24" t="s">
        <v>466</v>
      </c>
      <c r="P13" s="24"/>
      <c r="Q13" s="24" t="s">
        <v>467</v>
      </c>
      <c r="R13" s="24" t="s">
        <v>468</v>
      </c>
      <c r="S13" s="24" t="s">
        <v>469</v>
      </c>
      <c r="T13" s="24" t="s">
        <v>23</v>
      </c>
      <c r="U13" s="24" t="s">
        <v>470</v>
      </c>
      <c r="V13" s="24" t="s">
        <v>471</v>
      </c>
      <c r="W13" s="24" t="s">
        <v>472</v>
      </c>
      <c r="X13" s="24" t="s">
        <v>93</v>
      </c>
      <c r="Y13" s="24" t="s">
        <v>471</v>
      </c>
      <c r="Z13" s="24" t="s">
        <v>473</v>
      </c>
      <c r="AA13" s="24" t="s">
        <v>93</v>
      </c>
      <c r="AB13" s="24" t="s">
        <v>471</v>
      </c>
      <c r="AC13" s="24" t="s">
        <v>474</v>
      </c>
      <c r="AD13" s="24" t="s">
        <v>93</v>
      </c>
      <c r="AE13" s="24" t="s">
        <v>471</v>
      </c>
      <c r="AF13" s="24" t="s">
        <v>475</v>
      </c>
      <c r="AG13" s="24" t="s">
        <v>97</v>
      </c>
      <c r="AH13" s="24" t="s">
        <v>476</v>
      </c>
      <c r="AI13" s="24" t="s">
        <v>477</v>
      </c>
      <c r="AJ13" s="24" t="s">
        <v>478</v>
      </c>
      <c r="AK13" s="24" t="s">
        <v>479</v>
      </c>
      <c r="AL13" s="24" t="s">
        <v>480</v>
      </c>
      <c r="AM13" s="24" t="s">
        <v>471</v>
      </c>
      <c r="AN13" s="24" t="s">
        <v>475</v>
      </c>
      <c r="AO13" s="24" t="s">
        <v>481</v>
      </c>
      <c r="AP13" s="24" t="s">
        <v>480</v>
      </c>
      <c r="AQ13" s="24" t="s">
        <v>124</v>
      </c>
      <c r="AR13" s="24" t="s">
        <v>482</v>
      </c>
      <c r="AS13" s="24" t="s">
        <v>483</v>
      </c>
      <c r="AT13" s="24" t="s">
        <v>480</v>
      </c>
      <c r="AU13" s="24" t="s">
        <v>471</v>
      </c>
      <c r="AV13" s="24" t="s">
        <v>475</v>
      </c>
      <c r="AW13" s="24" t="s">
        <v>484</v>
      </c>
      <c r="AX13" s="24" t="s">
        <v>485</v>
      </c>
      <c r="AY13" s="24" t="s">
        <v>109</v>
      </c>
    </row>
  </sheetData>
  <autoFilter ref="A4:AY13" xr:uid="{00000000-0009-0000-0000-000002000000}"/>
  <mergeCells count="2">
    <mergeCell ref="A1:AY1"/>
    <mergeCell ref="A2:AY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Y13"/>
  <sheetViews>
    <sheetView zoomScale="206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B18" sqref="B18"/>
    </sheetView>
  </sheetViews>
  <sheetFormatPr baseColWidth="10" defaultColWidth="8.6640625" defaultRowHeight="15" x14ac:dyDescent="0.2"/>
  <cols>
    <col min="1" max="1" width="20" customWidth="1"/>
    <col min="2" max="2" width="42" customWidth="1"/>
    <col min="3" max="3" width="25" customWidth="1"/>
    <col min="4" max="4" width="10" customWidth="1"/>
    <col min="5" max="5" width="22" customWidth="1"/>
    <col min="6" max="6" width="20" customWidth="1"/>
    <col min="7" max="7" width="14" customWidth="1"/>
    <col min="8" max="8" width="8" customWidth="1"/>
    <col min="9" max="9" width="20" customWidth="1"/>
    <col min="10" max="10" width="16" customWidth="1"/>
    <col min="11" max="11" width="10" customWidth="1"/>
    <col min="12" max="12" width="45" customWidth="1"/>
    <col min="13" max="13" width="14" customWidth="1"/>
    <col min="14" max="14" width="10" customWidth="1"/>
    <col min="15" max="15" width="30" customWidth="1"/>
    <col min="16" max="16" width="8" customWidth="1"/>
    <col min="17" max="17" width="22" customWidth="1"/>
    <col min="18" max="18" width="20" customWidth="1"/>
    <col min="19" max="19" width="18" customWidth="1"/>
    <col min="20" max="20" width="6" customWidth="1"/>
    <col min="21" max="21" width="12" customWidth="1"/>
    <col min="22" max="22" width="7" customWidth="1"/>
    <col min="23" max="23" width="14" customWidth="1"/>
    <col min="24" max="24" width="10" customWidth="1"/>
    <col min="25" max="25" width="7" customWidth="1"/>
    <col min="26" max="26" width="14" customWidth="1"/>
    <col min="27" max="27" width="10" customWidth="1"/>
    <col min="28" max="28" width="7" customWidth="1"/>
    <col min="29" max="29" width="14" customWidth="1"/>
    <col min="30" max="30" width="10" customWidth="1"/>
    <col min="31" max="31" width="7" customWidth="1"/>
    <col min="32" max="32" width="14" customWidth="1"/>
    <col min="33" max="33" width="10" customWidth="1"/>
    <col min="34" max="36" width="32" customWidth="1"/>
    <col min="37" max="37" width="28" customWidth="1"/>
    <col min="38" max="38" width="20" customWidth="1"/>
    <col min="39" max="39" width="7" customWidth="1"/>
    <col min="40" max="40" width="14" customWidth="1"/>
    <col min="41" max="41" width="28" customWidth="1"/>
    <col min="42" max="42" width="20" customWidth="1"/>
    <col min="43" max="43" width="7" customWidth="1"/>
    <col min="44" max="44" width="14" customWidth="1"/>
    <col min="45" max="45" width="28" customWidth="1"/>
    <col min="46" max="46" width="20" customWidth="1"/>
    <col min="47" max="47" width="7" customWidth="1"/>
    <col min="48" max="48" width="14" customWidth="1"/>
    <col min="49" max="49" width="40" customWidth="1"/>
    <col min="50" max="50" width="18" customWidth="1"/>
    <col min="51" max="51" width="8" customWidth="1"/>
  </cols>
  <sheetData>
    <row r="1" spans="1:51" ht="24" customHeight="1" x14ac:dyDescent="0.2">
      <c r="A1" s="1" t="s">
        <v>486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ht="18" customHeight="1" x14ac:dyDescent="0.2">
      <c r="A2" s="3" t="s">
        <v>26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</row>
    <row r="4" spans="1:51" ht="31.5" customHeight="1" x14ac:dyDescent="0.2">
      <c r="A4" s="5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33</v>
      </c>
      <c r="H4" s="5" t="s">
        <v>34</v>
      </c>
      <c r="I4" s="5" t="s">
        <v>35</v>
      </c>
      <c r="J4" s="5" t="s">
        <v>36</v>
      </c>
      <c r="K4" s="5" t="s">
        <v>37</v>
      </c>
      <c r="L4" s="5" t="s">
        <v>38</v>
      </c>
      <c r="M4" s="5" t="s">
        <v>39</v>
      </c>
      <c r="N4" s="5" t="s">
        <v>40</v>
      </c>
      <c r="O4" s="5" t="s">
        <v>41</v>
      </c>
      <c r="P4" s="5" t="s">
        <v>42</v>
      </c>
      <c r="Q4" s="5" t="s">
        <v>43</v>
      </c>
      <c r="R4" s="5" t="s">
        <v>44</v>
      </c>
      <c r="S4" s="5" t="s">
        <v>45</v>
      </c>
      <c r="T4" s="5" t="s">
        <v>12</v>
      </c>
      <c r="U4" s="5" t="s">
        <v>46</v>
      </c>
      <c r="V4" s="5" t="s">
        <v>47</v>
      </c>
      <c r="W4" s="5" t="s">
        <v>48</v>
      </c>
      <c r="X4" s="5" t="s">
        <v>49</v>
      </c>
      <c r="Y4" s="5" t="s">
        <v>50</v>
      </c>
      <c r="Z4" s="5" t="s">
        <v>51</v>
      </c>
      <c r="AA4" s="5" t="s">
        <v>52</v>
      </c>
      <c r="AB4" s="5" t="s">
        <v>53</v>
      </c>
      <c r="AC4" s="5" t="s">
        <v>54</v>
      </c>
      <c r="AD4" s="5" t="s">
        <v>55</v>
      </c>
      <c r="AE4" s="5" t="s">
        <v>56</v>
      </c>
      <c r="AF4" s="5" t="s">
        <v>57</v>
      </c>
      <c r="AG4" s="5" t="s">
        <v>58</v>
      </c>
      <c r="AH4" s="5" t="s">
        <v>59</v>
      </c>
      <c r="AI4" s="5" t="s">
        <v>60</v>
      </c>
      <c r="AJ4" s="5" t="s">
        <v>61</v>
      </c>
      <c r="AK4" s="5" t="s">
        <v>62</v>
      </c>
      <c r="AL4" s="5" t="s">
        <v>63</v>
      </c>
      <c r="AM4" s="5" t="s">
        <v>64</v>
      </c>
      <c r="AN4" s="5" t="s">
        <v>65</v>
      </c>
      <c r="AO4" s="5" t="s">
        <v>66</v>
      </c>
      <c r="AP4" s="5" t="s">
        <v>67</v>
      </c>
      <c r="AQ4" s="5" t="s">
        <v>68</v>
      </c>
      <c r="AR4" s="5" t="s">
        <v>69</v>
      </c>
      <c r="AS4" s="5" t="s">
        <v>70</v>
      </c>
      <c r="AT4" s="5" t="s">
        <v>71</v>
      </c>
      <c r="AU4" s="5" t="s">
        <v>72</v>
      </c>
      <c r="AV4" s="5" t="s">
        <v>73</v>
      </c>
      <c r="AW4" s="5" t="s">
        <v>74</v>
      </c>
      <c r="AX4" s="5" t="s">
        <v>75</v>
      </c>
      <c r="AY4" s="5" t="s">
        <v>76</v>
      </c>
    </row>
    <row r="5" spans="1:51" x14ac:dyDescent="0.2">
      <c r="A5" s="24" t="s">
        <v>487</v>
      </c>
      <c r="B5" s="24" t="s">
        <v>488</v>
      </c>
      <c r="C5" s="24" t="s">
        <v>489</v>
      </c>
      <c r="D5" s="24" t="s">
        <v>79</v>
      </c>
      <c r="E5" s="25">
        <v>1126541549</v>
      </c>
      <c r="F5" s="25">
        <v>123638427</v>
      </c>
      <c r="G5" s="26">
        <v>674</v>
      </c>
      <c r="H5" s="26">
        <v>822</v>
      </c>
      <c r="I5" s="24" t="s">
        <v>80</v>
      </c>
      <c r="J5" s="24" t="s">
        <v>81</v>
      </c>
      <c r="K5" s="24" t="s">
        <v>254</v>
      </c>
      <c r="L5" s="24" t="s">
        <v>255</v>
      </c>
      <c r="M5" s="24" t="s">
        <v>490</v>
      </c>
      <c r="N5" s="26">
        <v>3</v>
      </c>
      <c r="O5" s="24" t="s">
        <v>491</v>
      </c>
      <c r="P5" s="24" t="s">
        <v>492</v>
      </c>
      <c r="Q5" s="24"/>
      <c r="R5" s="24" t="s">
        <v>493</v>
      </c>
      <c r="S5" s="24" t="s">
        <v>494</v>
      </c>
      <c r="T5" s="24" t="s">
        <v>22</v>
      </c>
      <c r="U5" s="24" t="s">
        <v>495</v>
      </c>
      <c r="V5" s="24" t="s">
        <v>91</v>
      </c>
      <c r="W5" s="24" t="s">
        <v>496</v>
      </c>
      <c r="X5" s="24" t="s">
        <v>93</v>
      </c>
      <c r="Y5" s="24" t="s">
        <v>497</v>
      </c>
      <c r="Z5" s="24" t="s">
        <v>498</v>
      </c>
      <c r="AA5" s="24" t="s">
        <v>97</v>
      </c>
      <c r="AB5" s="24" t="s">
        <v>91</v>
      </c>
      <c r="AC5" s="24" t="s">
        <v>499</v>
      </c>
      <c r="AD5" s="24" t="s">
        <v>93</v>
      </c>
      <c r="AE5" s="24" t="s">
        <v>91</v>
      </c>
      <c r="AF5" s="24" t="s">
        <v>500</v>
      </c>
      <c r="AG5" s="24" t="s">
        <v>93</v>
      </c>
      <c r="AH5" s="24" t="s">
        <v>501</v>
      </c>
      <c r="AI5" s="24" t="s">
        <v>502</v>
      </c>
      <c r="AJ5" s="24" t="s">
        <v>503</v>
      </c>
      <c r="AK5" s="24" t="s">
        <v>504</v>
      </c>
      <c r="AL5" s="24" t="s">
        <v>103</v>
      </c>
      <c r="AM5" s="24" t="s">
        <v>497</v>
      </c>
      <c r="AN5" s="24" t="s">
        <v>505</v>
      </c>
      <c r="AO5" s="24" t="s">
        <v>506</v>
      </c>
      <c r="AP5" s="24" t="s">
        <v>100</v>
      </c>
      <c r="AQ5" s="24" t="s">
        <v>507</v>
      </c>
      <c r="AR5" s="24" t="s">
        <v>508</v>
      </c>
      <c r="AS5" s="24" t="s">
        <v>509</v>
      </c>
      <c r="AT5" s="24" t="s">
        <v>100</v>
      </c>
      <c r="AU5" s="24" t="s">
        <v>510</v>
      </c>
      <c r="AV5" s="24" t="s">
        <v>511</v>
      </c>
      <c r="AW5" s="24" t="s">
        <v>512</v>
      </c>
      <c r="AX5" s="24" t="s">
        <v>513</v>
      </c>
      <c r="AY5" s="24" t="s">
        <v>109</v>
      </c>
    </row>
    <row r="6" spans="1:51" x14ac:dyDescent="0.2">
      <c r="A6" s="27" t="s">
        <v>514</v>
      </c>
      <c r="B6" s="27" t="s">
        <v>515</v>
      </c>
      <c r="C6" s="27" t="s">
        <v>516</v>
      </c>
      <c r="D6" s="27" t="s">
        <v>79</v>
      </c>
      <c r="E6" s="28">
        <v>940057392</v>
      </c>
      <c r="F6" s="28">
        <v>181981670</v>
      </c>
      <c r="G6" s="29">
        <v>316</v>
      </c>
      <c r="H6" s="29">
        <v>797</v>
      </c>
      <c r="I6" s="27" t="s">
        <v>80</v>
      </c>
      <c r="J6" s="27" t="s">
        <v>81</v>
      </c>
      <c r="K6" s="27" t="s">
        <v>154</v>
      </c>
      <c r="L6" s="27" t="s">
        <v>155</v>
      </c>
      <c r="M6" s="27" t="s">
        <v>517</v>
      </c>
      <c r="N6" s="29">
        <v>4</v>
      </c>
      <c r="O6" s="27" t="s">
        <v>518</v>
      </c>
      <c r="P6" s="27" t="s">
        <v>519</v>
      </c>
      <c r="Q6" s="27" t="s">
        <v>520</v>
      </c>
      <c r="R6" s="27" t="s">
        <v>521</v>
      </c>
      <c r="S6" s="27" t="s">
        <v>522</v>
      </c>
      <c r="T6" s="27" t="s">
        <v>18</v>
      </c>
      <c r="U6" s="27" t="s">
        <v>523</v>
      </c>
      <c r="V6" s="27" t="s">
        <v>381</v>
      </c>
      <c r="W6" s="27" t="s">
        <v>524</v>
      </c>
      <c r="X6" s="27" t="s">
        <v>93</v>
      </c>
      <c r="Y6" s="27" t="s">
        <v>381</v>
      </c>
      <c r="Z6" s="27" t="s">
        <v>525</v>
      </c>
      <c r="AA6" s="27" t="s">
        <v>93</v>
      </c>
      <c r="AB6" s="27" t="s">
        <v>381</v>
      </c>
      <c r="AC6" s="27" t="s">
        <v>526</v>
      </c>
      <c r="AD6" s="27" t="s">
        <v>93</v>
      </c>
      <c r="AE6" s="27" t="s">
        <v>381</v>
      </c>
      <c r="AF6" s="27" t="s">
        <v>527</v>
      </c>
      <c r="AG6" s="27" t="s">
        <v>97</v>
      </c>
      <c r="AH6" s="27" t="s">
        <v>528</v>
      </c>
      <c r="AI6" s="27" t="s">
        <v>529</v>
      </c>
      <c r="AJ6" s="27"/>
      <c r="AK6" s="27" t="s">
        <v>530</v>
      </c>
      <c r="AL6" s="27" t="s">
        <v>103</v>
      </c>
      <c r="AM6" s="27" t="s">
        <v>531</v>
      </c>
      <c r="AN6" s="27" t="s">
        <v>532</v>
      </c>
      <c r="AO6" s="27" t="s">
        <v>533</v>
      </c>
      <c r="AP6" s="27" t="s">
        <v>100</v>
      </c>
      <c r="AQ6" s="27" t="s">
        <v>381</v>
      </c>
      <c r="AR6" s="27" t="s">
        <v>534</v>
      </c>
      <c r="AS6" s="27" t="s">
        <v>535</v>
      </c>
      <c r="AT6" s="27" t="s">
        <v>100</v>
      </c>
      <c r="AU6" s="27" t="s">
        <v>531</v>
      </c>
      <c r="AV6" s="27" t="s">
        <v>536</v>
      </c>
      <c r="AW6" s="27" t="s">
        <v>537</v>
      </c>
      <c r="AX6" s="27" t="s">
        <v>538</v>
      </c>
      <c r="AY6" s="27" t="s">
        <v>109</v>
      </c>
    </row>
    <row r="7" spans="1:51" x14ac:dyDescent="0.2">
      <c r="A7" s="24" t="s">
        <v>539</v>
      </c>
      <c r="B7" s="24" t="s">
        <v>540</v>
      </c>
      <c r="C7" s="24"/>
      <c r="D7" s="24" t="s">
        <v>79</v>
      </c>
      <c r="E7" s="25">
        <v>829129596</v>
      </c>
      <c r="F7" s="25">
        <v>122400000</v>
      </c>
      <c r="G7" s="26">
        <v>2</v>
      </c>
      <c r="H7" s="26">
        <v>895</v>
      </c>
      <c r="I7" s="24" t="s">
        <v>80</v>
      </c>
      <c r="J7" s="24" t="s">
        <v>81</v>
      </c>
      <c r="K7" s="24" t="s">
        <v>254</v>
      </c>
      <c r="L7" s="24" t="s">
        <v>255</v>
      </c>
      <c r="M7" s="24" t="s">
        <v>541</v>
      </c>
      <c r="N7" s="26">
        <v>2</v>
      </c>
      <c r="O7" s="24" t="s">
        <v>542</v>
      </c>
      <c r="P7" s="24" t="s">
        <v>543</v>
      </c>
      <c r="Q7" s="24" t="s">
        <v>544</v>
      </c>
      <c r="R7" s="24" t="s">
        <v>545</v>
      </c>
      <c r="S7" s="24" t="s">
        <v>161</v>
      </c>
      <c r="T7" s="24" t="s">
        <v>23</v>
      </c>
      <c r="U7" s="24" t="s">
        <v>546</v>
      </c>
      <c r="V7" s="24" t="s">
        <v>124</v>
      </c>
      <c r="W7" s="24" t="s">
        <v>547</v>
      </c>
      <c r="X7" s="24" t="s">
        <v>97</v>
      </c>
      <c r="Y7" s="24"/>
      <c r="Z7" s="24"/>
      <c r="AA7" s="24"/>
      <c r="AB7" s="24"/>
      <c r="AC7" s="24"/>
      <c r="AD7" s="24"/>
      <c r="AE7" s="24"/>
      <c r="AF7" s="24"/>
      <c r="AG7" s="24"/>
      <c r="AH7" s="24" t="s">
        <v>548</v>
      </c>
      <c r="AI7" s="24" t="s">
        <v>549</v>
      </c>
      <c r="AJ7" s="24"/>
      <c r="AK7" s="24" t="s">
        <v>550</v>
      </c>
      <c r="AL7" s="24" t="s">
        <v>103</v>
      </c>
      <c r="AM7" s="24" t="s">
        <v>124</v>
      </c>
      <c r="AN7" s="24" t="s">
        <v>551</v>
      </c>
      <c r="AO7" s="24"/>
      <c r="AP7" s="24"/>
      <c r="AQ7" s="24"/>
      <c r="AR7" s="24"/>
      <c r="AS7" s="24"/>
      <c r="AT7" s="24"/>
      <c r="AU7" s="24"/>
      <c r="AV7" s="24"/>
      <c r="AW7" s="24"/>
      <c r="AX7" s="24" t="s">
        <v>552</v>
      </c>
      <c r="AY7" s="24" t="s">
        <v>109</v>
      </c>
    </row>
    <row r="8" spans="1:51" x14ac:dyDescent="0.2">
      <c r="A8" s="27" t="s">
        <v>553</v>
      </c>
      <c r="B8" s="27" t="s">
        <v>554</v>
      </c>
      <c r="C8" s="27" t="s">
        <v>555</v>
      </c>
      <c r="D8" s="27" t="s">
        <v>79</v>
      </c>
      <c r="E8" s="28">
        <v>750561604</v>
      </c>
      <c r="F8" s="28">
        <v>167742344</v>
      </c>
      <c r="G8" s="29">
        <v>257</v>
      </c>
      <c r="H8" s="29">
        <v>883</v>
      </c>
      <c r="I8" s="27" t="s">
        <v>80</v>
      </c>
      <c r="J8" s="27" t="s">
        <v>81</v>
      </c>
      <c r="K8" s="27" t="s">
        <v>82</v>
      </c>
      <c r="L8" s="27" t="s">
        <v>83</v>
      </c>
      <c r="M8" s="27" t="s">
        <v>556</v>
      </c>
      <c r="N8" s="29">
        <v>3</v>
      </c>
      <c r="O8" s="27" t="s">
        <v>557</v>
      </c>
      <c r="P8" s="27"/>
      <c r="Q8" s="27" t="s">
        <v>558</v>
      </c>
      <c r="R8" s="27" t="s">
        <v>559</v>
      </c>
      <c r="S8" s="27" t="s">
        <v>560</v>
      </c>
      <c r="T8" s="27" t="s">
        <v>16</v>
      </c>
      <c r="U8" s="27" t="s">
        <v>561</v>
      </c>
      <c r="V8" s="27" t="s">
        <v>184</v>
      </c>
      <c r="W8" s="27" t="s">
        <v>562</v>
      </c>
      <c r="X8" s="27" t="s">
        <v>93</v>
      </c>
      <c r="Y8" s="27" t="s">
        <v>184</v>
      </c>
      <c r="Z8" s="27" t="s">
        <v>563</v>
      </c>
      <c r="AA8" s="27" t="s">
        <v>93</v>
      </c>
      <c r="AB8" s="27" t="s">
        <v>184</v>
      </c>
      <c r="AC8" s="27" t="s">
        <v>564</v>
      </c>
      <c r="AD8" s="27" t="s">
        <v>97</v>
      </c>
      <c r="AE8" s="27"/>
      <c r="AF8" s="27"/>
      <c r="AG8" s="27"/>
      <c r="AH8" s="27" t="s">
        <v>565</v>
      </c>
      <c r="AI8" s="27"/>
      <c r="AJ8" s="27"/>
      <c r="AK8" s="27" t="s">
        <v>566</v>
      </c>
      <c r="AL8" s="27" t="s">
        <v>244</v>
      </c>
      <c r="AM8" s="27" t="s">
        <v>567</v>
      </c>
      <c r="AN8" s="27" t="s">
        <v>568</v>
      </c>
      <c r="AO8" s="27" t="s">
        <v>569</v>
      </c>
      <c r="AP8" s="27" t="s">
        <v>244</v>
      </c>
      <c r="AQ8" s="27" t="s">
        <v>381</v>
      </c>
      <c r="AR8" s="27" t="s">
        <v>570</v>
      </c>
      <c r="AS8" s="27" t="s">
        <v>571</v>
      </c>
      <c r="AT8" s="27" t="s">
        <v>103</v>
      </c>
      <c r="AU8" s="27" t="s">
        <v>572</v>
      </c>
      <c r="AV8" s="27" t="s">
        <v>573</v>
      </c>
      <c r="AW8" s="27" t="s">
        <v>574</v>
      </c>
      <c r="AX8" s="27" t="s">
        <v>575</v>
      </c>
      <c r="AY8" s="27" t="s">
        <v>109</v>
      </c>
    </row>
    <row r="9" spans="1:51" x14ac:dyDescent="0.2">
      <c r="A9" s="24" t="s">
        <v>576</v>
      </c>
      <c r="B9" s="24" t="s">
        <v>577</v>
      </c>
      <c r="C9" s="24" t="s">
        <v>578</v>
      </c>
      <c r="D9" s="24" t="s">
        <v>79</v>
      </c>
      <c r="E9" s="25">
        <v>668149961</v>
      </c>
      <c r="F9" s="25">
        <v>1122449574</v>
      </c>
      <c r="G9" s="26">
        <v>229</v>
      </c>
      <c r="H9" s="26">
        <v>618</v>
      </c>
      <c r="I9" s="24" t="s">
        <v>213</v>
      </c>
      <c r="J9" s="24" t="s">
        <v>81</v>
      </c>
      <c r="K9" s="24" t="s">
        <v>154</v>
      </c>
      <c r="L9" s="24" t="s">
        <v>155</v>
      </c>
      <c r="M9" s="24" t="s">
        <v>579</v>
      </c>
      <c r="N9" s="26">
        <v>15</v>
      </c>
      <c r="O9" s="24" t="s">
        <v>580</v>
      </c>
      <c r="P9" s="24" t="s">
        <v>581</v>
      </c>
      <c r="Q9" s="24"/>
      <c r="R9" s="24" t="s">
        <v>582</v>
      </c>
      <c r="S9" s="24" t="s">
        <v>522</v>
      </c>
      <c r="T9" s="24" t="s">
        <v>18</v>
      </c>
      <c r="U9" s="24" t="s">
        <v>583</v>
      </c>
      <c r="V9" s="24" t="s">
        <v>584</v>
      </c>
      <c r="W9" s="24" t="s">
        <v>585</v>
      </c>
      <c r="X9" s="24" t="s">
        <v>93</v>
      </c>
      <c r="Y9" s="24" t="s">
        <v>381</v>
      </c>
      <c r="Z9" s="24" t="s">
        <v>586</v>
      </c>
      <c r="AA9" s="24" t="s">
        <v>97</v>
      </c>
      <c r="AB9" s="24"/>
      <c r="AC9" s="24"/>
      <c r="AD9" s="24"/>
      <c r="AE9" s="24"/>
      <c r="AF9" s="24"/>
      <c r="AG9" s="24"/>
      <c r="AH9" s="24" t="s">
        <v>587</v>
      </c>
      <c r="AI9" s="24" t="s">
        <v>588</v>
      </c>
      <c r="AJ9" s="24" t="s">
        <v>589</v>
      </c>
      <c r="AK9" s="24" t="s">
        <v>590</v>
      </c>
      <c r="AL9" s="24" t="s">
        <v>100</v>
      </c>
      <c r="AM9" s="24" t="s">
        <v>124</v>
      </c>
      <c r="AN9" s="24" t="s">
        <v>591</v>
      </c>
      <c r="AO9" s="24" t="s">
        <v>592</v>
      </c>
      <c r="AP9" s="24" t="s">
        <v>103</v>
      </c>
      <c r="AQ9" s="24" t="s">
        <v>124</v>
      </c>
      <c r="AR9" s="24" t="s">
        <v>593</v>
      </c>
      <c r="AS9" s="24" t="s">
        <v>594</v>
      </c>
      <c r="AT9" s="24" t="s">
        <v>100</v>
      </c>
      <c r="AU9" s="24" t="s">
        <v>124</v>
      </c>
      <c r="AV9" s="24" t="s">
        <v>595</v>
      </c>
      <c r="AW9" s="24" t="s">
        <v>596</v>
      </c>
      <c r="AX9" s="24" t="s">
        <v>597</v>
      </c>
      <c r="AY9" s="24" t="s">
        <v>109</v>
      </c>
    </row>
    <row r="10" spans="1:51" x14ac:dyDescent="0.2">
      <c r="A10" s="27" t="s">
        <v>598</v>
      </c>
      <c r="B10" s="27" t="s">
        <v>599</v>
      </c>
      <c r="C10" s="27"/>
      <c r="D10" s="27" t="s">
        <v>79</v>
      </c>
      <c r="E10" s="28">
        <v>601943935</v>
      </c>
      <c r="F10" s="28">
        <v>151300000</v>
      </c>
      <c r="G10" s="29">
        <v>932</v>
      </c>
      <c r="H10" s="29">
        <v>998</v>
      </c>
      <c r="I10" s="27" t="s">
        <v>80</v>
      </c>
      <c r="J10" s="27" t="s">
        <v>81</v>
      </c>
      <c r="K10" s="27" t="s">
        <v>191</v>
      </c>
      <c r="L10" s="27" t="s">
        <v>192</v>
      </c>
      <c r="M10" s="27" t="s">
        <v>600</v>
      </c>
      <c r="N10" s="29">
        <v>0</v>
      </c>
      <c r="O10" s="27" t="s">
        <v>601</v>
      </c>
      <c r="P10" s="27" t="s">
        <v>602</v>
      </c>
      <c r="Q10" s="27"/>
      <c r="R10" s="27" t="s">
        <v>603</v>
      </c>
      <c r="S10" s="27" t="s">
        <v>604</v>
      </c>
      <c r="T10" s="27" t="s">
        <v>21</v>
      </c>
      <c r="U10" s="27" t="s">
        <v>605</v>
      </c>
      <c r="V10" s="27" t="s">
        <v>606</v>
      </c>
      <c r="W10" s="27" t="s">
        <v>607</v>
      </c>
      <c r="X10" s="27" t="s">
        <v>97</v>
      </c>
      <c r="Y10" s="27"/>
      <c r="Z10" s="27"/>
      <c r="AA10" s="27"/>
      <c r="AB10" s="27"/>
      <c r="AC10" s="27"/>
      <c r="AD10" s="27"/>
      <c r="AE10" s="27"/>
      <c r="AF10" s="27"/>
      <c r="AG10" s="27"/>
      <c r="AH10" s="27" t="s">
        <v>608</v>
      </c>
      <c r="AI10" s="27" t="s">
        <v>609</v>
      </c>
      <c r="AJ10" s="27" t="s">
        <v>610</v>
      </c>
      <c r="AK10" s="27" t="s">
        <v>611</v>
      </c>
      <c r="AL10" s="27" t="s">
        <v>612</v>
      </c>
      <c r="AM10" s="27" t="s">
        <v>606</v>
      </c>
      <c r="AN10" s="27" t="s">
        <v>613</v>
      </c>
      <c r="AO10" s="27" t="s">
        <v>614</v>
      </c>
      <c r="AP10" s="27" t="s">
        <v>612</v>
      </c>
      <c r="AQ10" s="27" t="s">
        <v>606</v>
      </c>
      <c r="AR10" s="27" t="s">
        <v>615</v>
      </c>
      <c r="AS10" s="27"/>
      <c r="AT10" s="27"/>
      <c r="AU10" s="27"/>
      <c r="AV10" s="27"/>
      <c r="AW10" s="27" t="s">
        <v>616</v>
      </c>
      <c r="AX10" s="27" t="s">
        <v>617</v>
      </c>
      <c r="AY10" s="27" t="s">
        <v>109</v>
      </c>
    </row>
    <row r="11" spans="1:51" x14ac:dyDescent="0.2">
      <c r="A11" s="24" t="s">
        <v>618</v>
      </c>
      <c r="B11" s="24" t="s">
        <v>619</v>
      </c>
      <c r="C11" s="24"/>
      <c r="D11" s="24" t="s">
        <v>79</v>
      </c>
      <c r="E11" s="25">
        <v>561021272</v>
      </c>
      <c r="F11" s="25">
        <v>79747000</v>
      </c>
      <c r="G11" s="26">
        <v>328</v>
      </c>
      <c r="H11" s="26">
        <v>773</v>
      </c>
      <c r="I11" s="24" t="s">
        <v>80</v>
      </c>
      <c r="J11" s="24" t="s">
        <v>81</v>
      </c>
      <c r="K11" s="24" t="s">
        <v>82</v>
      </c>
      <c r="L11" s="24" t="s">
        <v>83</v>
      </c>
      <c r="M11" s="24" t="s">
        <v>620</v>
      </c>
      <c r="N11" s="26">
        <v>0</v>
      </c>
      <c r="O11" s="24" t="s">
        <v>621</v>
      </c>
      <c r="P11" s="24"/>
      <c r="Q11" s="24" t="s">
        <v>622</v>
      </c>
      <c r="R11" s="24" t="s">
        <v>623</v>
      </c>
      <c r="S11" s="24" t="s">
        <v>624</v>
      </c>
      <c r="T11" s="24" t="s">
        <v>23</v>
      </c>
      <c r="U11" s="24" t="s">
        <v>625</v>
      </c>
      <c r="V11" s="24" t="s">
        <v>168</v>
      </c>
      <c r="W11" s="24" t="s">
        <v>626</v>
      </c>
      <c r="X11" s="24" t="s">
        <v>93</v>
      </c>
      <c r="Y11" s="24" t="s">
        <v>168</v>
      </c>
      <c r="Z11" s="24" t="s">
        <v>627</v>
      </c>
      <c r="AA11" s="24" t="s">
        <v>93</v>
      </c>
      <c r="AB11" s="24" t="s">
        <v>168</v>
      </c>
      <c r="AC11" s="24" t="s">
        <v>628</v>
      </c>
      <c r="AD11" s="24" t="s">
        <v>93</v>
      </c>
      <c r="AE11" s="24" t="s">
        <v>168</v>
      </c>
      <c r="AF11" s="24" t="s">
        <v>629</v>
      </c>
      <c r="AG11" s="24" t="s">
        <v>97</v>
      </c>
      <c r="AH11" s="24" t="s">
        <v>630</v>
      </c>
      <c r="AI11" s="24"/>
      <c r="AJ11" s="24"/>
      <c r="AK11" s="24" t="s">
        <v>631</v>
      </c>
      <c r="AL11" s="24" t="s">
        <v>100</v>
      </c>
      <c r="AM11" s="24" t="s">
        <v>124</v>
      </c>
      <c r="AN11" s="24" t="s">
        <v>632</v>
      </c>
      <c r="AO11" s="24" t="s">
        <v>633</v>
      </c>
      <c r="AP11" s="24" t="s">
        <v>100</v>
      </c>
      <c r="AQ11" s="24" t="s">
        <v>245</v>
      </c>
      <c r="AR11" s="24" t="s">
        <v>634</v>
      </c>
      <c r="AS11" s="24" t="s">
        <v>635</v>
      </c>
      <c r="AT11" s="24" t="s">
        <v>100</v>
      </c>
      <c r="AU11" s="24"/>
      <c r="AV11" s="24"/>
      <c r="AW11" s="24"/>
      <c r="AX11" s="24" t="s">
        <v>636</v>
      </c>
      <c r="AY11" s="24" t="s">
        <v>109</v>
      </c>
    </row>
    <row r="12" spans="1:51" x14ac:dyDescent="0.2">
      <c r="A12" s="27" t="s">
        <v>637</v>
      </c>
      <c r="B12" s="27" t="s">
        <v>638</v>
      </c>
      <c r="C12" s="27" t="s">
        <v>639</v>
      </c>
      <c r="D12" s="27" t="s">
        <v>79</v>
      </c>
      <c r="E12" s="28">
        <v>540712262</v>
      </c>
      <c r="F12" s="28">
        <v>80000000</v>
      </c>
      <c r="G12" s="29">
        <v>129</v>
      </c>
      <c r="H12" s="29">
        <v>883</v>
      </c>
      <c r="I12" s="27" t="s">
        <v>80</v>
      </c>
      <c r="J12" s="27" t="s">
        <v>81</v>
      </c>
      <c r="K12" s="27" t="s">
        <v>82</v>
      </c>
      <c r="L12" s="27" t="s">
        <v>83</v>
      </c>
      <c r="M12" s="27" t="s">
        <v>640</v>
      </c>
      <c r="N12" s="29">
        <v>1</v>
      </c>
      <c r="O12" s="27" t="s">
        <v>641</v>
      </c>
      <c r="P12" s="27" t="s">
        <v>642</v>
      </c>
      <c r="Q12" s="27"/>
      <c r="R12" s="27" t="s">
        <v>643</v>
      </c>
      <c r="S12" s="27" t="s">
        <v>89</v>
      </c>
      <c r="T12" s="27" t="s">
        <v>22</v>
      </c>
      <c r="U12" s="27" t="s">
        <v>644</v>
      </c>
      <c r="V12" s="27" t="s">
        <v>91</v>
      </c>
      <c r="W12" s="27" t="s">
        <v>645</v>
      </c>
      <c r="X12" s="27" t="s">
        <v>93</v>
      </c>
      <c r="Y12" s="27" t="s">
        <v>91</v>
      </c>
      <c r="Z12" s="27" t="s">
        <v>646</v>
      </c>
      <c r="AA12" s="27" t="s">
        <v>93</v>
      </c>
      <c r="AB12" s="27" t="s">
        <v>91</v>
      </c>
      <c r="AC12" s="27" t="s">
        <v>647</v>
      </c>
      <c r="AD12" s="27" t="s">
        <v>93</v>
      </c>
      <c r="AE12" s="27" t="s">
        <v>91</v>
      </c>
      <c r="AF12" s="27" t="s">
        <v>648</v>
      </c>
      <c r="AG12" s="27" t="s">
        <v>97</v>
      </c>
      <c r="AH12" s="27" t="s">
        <v>649</v>
      </c>
      <c r="AI12" s="27"/>
      <c r="AJ12" s="27"/>
      <c r="AK12" s="27" t="s">
        <v>650</v>
      </c>
      <c r="AL12" s="27" t="s">
        <v>103</v>
      </c>
      <c r="AM12" s="27" t="s">
        <v>91</v>
      </c>
      <c r="AN12" s="27" t="s">
        <v>651</v>
      </c>
      <c r="AO12" s="27" t="s">
        <v>652</v>
      </c>
      <c r="AP12" s="27" t="s">
        <v>100</v>
      </c>
      <c r="AQ12" s="27" t="s">
        <v>262</v>
      </c>
      <c r="AR12" s="27" t="s">
        <v>653</v>
      </c>
      <c r="AS12" s="27" t="s">
        <v>654</v>
      </c>
      <c r="AT12" s="27" t="s">
        <v>100</v>
      </c>
      <c r="AU12" s="27" t="s">
        <v>262</v>
      </c>
      <c r="AV12" s="27" t="s">
        <v>655</v>
      </c>
      <c r="AW12" s="27" t="s">
        <v>656</v>
      </c>
      <c r="AX12" s="27" t="s">
        <v>657</v>
      </c>
      <c r="AY12" s="27" t="s">
        <v>109</v>
      </c>
    </row>
    <row r="13" spans="1:51" x14ac:dyDescent="0.2">
      <c r="A13" s="24" t="s">
        <v>658</v>
      </c>
      <c r="B13" s="24" t="s">
        <v>659</v>
      </c>
      <c r="C13" s="24"/>
      <c r="D13" s="24" t="s">
        <v>79</v>
      </c>
      <c r="E13" s="25">
        <v>500058638</v>
      </c>
      <c r="F13" s="25">
        <v>39090000</v>
      </c>
      <c r="G13" s="26">
        <v>270</v>
      </c>
      <c r="H13" s="26">
        <v>416</v>
      </c>
      <c r="I13" s="24" t="s">
        <v>660</v>
      </c>
      <c r="J13" s="24" t="s">
        <v>81</v>
      </c>
      <c r="K13" s="24" t="s">
        <v>254</v>
      </c>
      <c r="L13" s="24" t="s">
        <v>255</v>
      </c>
      <c r="M13" s="24" t="s">
        <v>661</v>
      </c>
      <c r="N13" s="26">
        <v>4</v>
      </c>
      <c r="O13" s="24" t="s">
        <v>662</v>
      </c>
      <c r="P13" s="24" t="s">
        <v>663</v>
      </c>
      <c r="Q13" s="24" t="s">
        <v>664</v>
      </c>
      <c r="R13" s="24" t="s">
        <v>665</v>
      </c>
      <c r="S13" s="24" t="s">
        <v>666</v>
      </c>
      <c r="T13" s="24" t="s">
        <v>17</v>
      </c>
      <c r="U13" s="24" t="s">
        <v>667</v>
      </c>
      <c r="V13" s="24" t="s">
        <v>497</v>
      </c>
      <c r="W13" s="24" t="s">
        <v>668</v>
      </c>
      <c r="X13" s="24" t="s">
        <v>97</v>
      </c>
      <c r="Y13" s="24"/>
      <c r="Z13" s="24"/>
      <c r="AA13" s="24"/>
      <c r="AB13" s="24"/>
      <c r="AC13" s="24"/>
      <c r="AD13" s="24"/>
      <c r="AE13" s="24"/>
      <c r="AF13" s="24"/>
      <c r="AG13" s="24"/>
      <c r="AH13" s="24" t="s">
        <v>669</v>
      </c>
      <c r="AI13" s="24" t="s">
        <v>670</v>
      </c>
      <c r="AJ13" s="24" t="s">
        <v>671</v>
      </c>
      <c r="AK13" s="24" t="s">
        <v>672</v>
      </c>
      <c r="AL13" s="24" t="s">
        <v>480</v>
      </c>
      <c r="AM13" s="24" t="s">
        <v>497</v>
      </c>
      <c r="AN13" s="24" t="s">
        <v>673</v>
      </c>
      <c r="AO13" s="24" t="s">
        <v>674</v>
      </c>
      <c r="AP13" s="24" t="s">
        <v>480</v>
      </c>
      <c r="AQ13" s="24"/>
      <c r="AR13" s="24"/>
      <c r="AS13" s="24"/>
      <c r="AT13" s="24"/>
      <c r="AU13" s="24"/>
      <c r="AV13" s="24"/>
      <c r="AW13" s="24" t="s">
        <v>675</v>
      </c>
      <c r="AX13" s="24" t="s">
        <v>676</v>
      </c>
      <c r="AY13" s="24" t="s">
        <v>109</v>
      </c>
    </row>
  </sheetData>
  <autoFilter ref="A4:AY13" xr:uid="{00000000-0009-0000-0000-000003000000}"/>
  <mergeCells count="2">
    <mergeCell ref="A1:AY1"/>
    <mergeCell ref="A2:AY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Y12"/>
  <sheetViews>
    <sheetView zoomScale="170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B15" sqref="B15"/>
    </sheetView>
  </sheetViews>
  <sheetFormatPr baseColWidth="10" defaultColWidth="8.6640625" defaultRowHeight="15" x14ac:dyDescent="0.2"/>
  <cols>
    <col min="1" max="1" width="20" customWidth="1"/>
    <col min="2" max="2" width="42" customWidth="1"/>
    <col min="3" max="3" width="25" customWidth="1"/>
    <col min="4" max="4" width="10" customWidth="1"/>
    <col min="5" max="5" width="22" customWidth="1"/>
    <col min="6" max="6" width="20" customWidth="1"/>
    <col min="7" max="7" width="14" customWidth="1"/>
    <col min="8" max="8" width="8" customWidth="1"/>
    <col min="9" max="9" width="20" customWidth="1"/>
    <col min="10" max="10" width="16" customWidth="1"/>
    <col min="11" max="11" width="10" customWidth="1"/>
    <col min="12" max="12" width="45" customWidth="1"/>
    <col min="13" max="13" width="14" customWidth="1"/>
    <col min="14" max="14" width="10" customWidth="1"/>
    <col min="15" max="15" width="30" customWidth="1"/>
    <col min="16" max="16" width="8" customWidth="1"/>
    <col min="17" max="17" width="22" customWidth="1"/>
    <col min="18" max="18" width="20" customWidth="1"/>
    <col min="19" max="19" width="18" customWidth="1"/>
    <col min="20" max="20" width="6" customWidth="1"/>
    <col min="21" max="21" width="12" customWidth="1"/>
    <col min="22" max="22" width="7" customWidth="1"/>
    <col min="23" max="23" width="14" customWidth="1"/>
    <col min="24" max="24" width="10" customWidth="1"/>
    <col min="25" max="25" width="7" customWidth="1"/>
    <col min="26" max="26" width="14" customWidth="1"/>
    <col min="27" max="27" width="10" customWidth="1"/>
    <col min="28" max="28" width="7" customWidth="1"/>
    <col min="29" max="29" width="14" customWidth="1"/>
    <col min="30" max="30" width="10" customWidth="1"/>
    <col min="31" max="31" width="7" customWidth="1"/>
    <col min="32" max="32" width="14" customWidth="1"/>
    <col min="33" max="33" width="10" customWidth="1"/>
    <col min="34" max="36" width="32" customWidth="1"/>
    <col min="37" max="37" width="28" customWidth="1"/>
    <col min="38" max="38" width="20" customWidth="1"/>
    <col min="39" max="39" width="7" customWidth="1"/>
    <col min="40" max="40" width="14" customWidth="1"/>
    <col min="41" max="41" width="28" customWidth="1"/>
    <col min="42" max="42" width="20" customWidth="1"/>
    <col min="43" max="43" width="7" customWidth="1"/>
    <col min="44" max="44" width="14" customWidth="1"/>
    <col min="45" max="45" width="28" customWidth="1"/>
    <col min="46" max="46" width="20" customWidth="1"/>
    <col min="47" max="47" width="7" customWidth="1"/>
    <col min="48" max="48" width="14" customWidth="1"/>
    <col min="49" max="49" width="40" customWidth="1"/>
    <col min="50" max="50" width="18" customWidth="1"/>
    <col min="51" max="51" width="8" customWidth="1"/>
  </cols>
  <sheetData>
    <row r="1" spans="1:51" ht="24" customHeight="1" x14ac:dyDescent="0.2">
      <c r="A1" s="1" t="s">
        <v>677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ht="18" customHeight="1" x14ac:dyDescent="0.2">
      <c r="A2" s="3" t="s">
        <v>678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</row>
    <row r="4" spans="1:51" ht="31.5" customHeight="1" x14ac:dyDescent="0.2">
      <c r="A4" s="5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33</v>
      </c>
      <c r="H4" s="5" t="s">
        <v>34</v>
      </c>
      <c r="I4" s="5" t="s">
        <v>35</v>
      </c>
      <c r="J4" s="5" t="s">
        <v>36</v>
      </c>
      <c r="K4" s="5" t="s">
        <v>37</v>
      </c>
      <c r="L4" s="5" t="s">
        <v>38</v>
      </c>
      <c r="M4" s="5" t="s">
        <v>39</v>
      </c>
      <c r="N4" s="5" t="s">
        <v>40</v>
      </c>
      <c r="O4" s="5" t="s">
        <v>41</v>
      </c>
      <c r="P4" s="5" t="s">
        <v>42</v>
      </c>
      <c r="Q4" s="5" t="s">
        <v>43</v>
      </c>
      <c r="R4" s="5" t="s">
        <v>44</v>
      </c>
      <c r="S4" s="5" t="s">
        <v>45</v>
      </c>
      <c r="T4" s="5" t="s">
        <v>12</v>
      </c>
      <c r="U4" s="5" t="s">
        <v>46</v>
      </c>
      <c r="V4" s="5" t="s">
        <v>47</v>
      </c>
      <c r="W4" s="5" t="s">
        <v>48</v>
      </c>
      <c r="X4" s="5" t="s">
        <v>49</v>
      </c>
      <c r="Y4" s="5" t="s">
        <v>50</v>
      </c>
      <c r="Z4" s="5" t="s">
        <v>51</v>
      </c>
      <c r="AA4" s="5" t="s">
        <v>52</v>
      </c>
      <c r="AB4" s="5" t="s">
        <v>53</v>
      </c>
      <c r="AC4" s="5" t="s">
        <v>54</v>
      </c>
      <c r="AD4" s="5" t="s">
        <v>55</v>
      </c>
      <c r="AE4" s="5" t="s">
        <v>56</v>
      </c>
      <c r="AF4" s="5" t="s">
        <v>57</v>
      </c>
      <c r="AG4" s="5" t="s">
        <v>58</v>
      </c>
      <c r="AH4" s="5" t="s">
        <v>59</v>
      </c>
      <c r="AI4" s="5" t="s">
        <v>60</v>
      </c>
      <c r="AJ4" s="5" t="s">
        <v>61</v>
      </c>
      <c r="AK4" s="5" t="s">
        <v>62</v>
      </c>
      <c r="AL4" s="5" t="s">
        <v>63</v>
      </c>
      <c r="AM4" s="5" t="s">
        <v>64</v>
      </c>
      <c r="AN4" s="5" t="s">
        <v>65</v>
      </c>
      <c r="AO4" s="5" t="s">
        <v>66</v>
      </c>
      <c r="AP4" s="5" t="s">
        <v>67</v>
      </c>
      <c r="AQ4" s="5" t="s">
        <v>68</v>
      </c>
      <c r="AR4" s="5" t="s">
        <v>69</v>
      </c>
      <c r="AS4" s="5" t="s">
        <v>70</v>
      </c>
      <c r="AT4" s="5" t="s">
        <v>71</v>
      </c>
      <c r="AU4" s="5" t="s">
        <v>72</v>
      </c>
      <c r="AV4" s="5" t="s">
        <v>73</v>
      </c>
      <c r="AW4" s="5" t="s">
        <v>74</v>
      </c>
      <c r="AX4" s="5" t="s">
        <v>75</v>
      </c>
      <c r="AY4" s="5" t="s">
        <v>76</v>
      </c>
    </row>
    <row r="5" spans="1:51" x14ac:dyDescent="0.2">
      <c r="A5" s="24" t="s">
        <v>679</v>
      </c>
      <c r="B5" s="24" t="s">
        <v>680</v>
      </c>
      <c r="C5" s="24"/>
      <c r="D5" s="24" t="s">
        <v>79</v>
      </c>
      <c r="E5" s="25">
        <v>1084889606</v>
      </c>
      <c r="F5" s="25">
        <v>432842995</v>
      </c>
      <c r="G5" s="26">
        <v>131</v>
      </c>
      <c r="H5" s="26">
        <v>827</v>
      </c>
      <c r="I5" s="24" t="s">
        <v>80</v>
      </c>
      <c r="J5" s="24" t="s">
        <v>81</v>
      </c>
      <c r="K5" s="24" t="s">
        <v>82</v>
      </c>
      <c r="L5" s="24" t="s">
        <v>83</v>
      </c>
      <c r="M5" s="24" t="s">
        <v>681</v>
      </c>
      <c r="N5" s="26">
        <v>5</v>
      </c>
      <c r="O5" s="24" t="s">
        <v>682</v>
      </c>
      <c r="P5" s="24" t="s">
        <v>683</v>
      </c>
      <c r="Q5" s="24"/>
      <c r="R5" s="24" t="s">
        <v>684</v>
      </c>
      <c r="S5" s="24" t="s">
        <v>685</v>
      </c>
      <c r="T5" s="24" t="s">
        <v>20</v>
      </c>
      <c r="U5" s="24" t="s">
        <v>686</v>
      </c>
      <c r="V5" s="24" t="s">
        <v>687</v>
      </c>
      <c r="W5" s="24" t="s">
        <v>688</v>
      </c>
      <c r="X5" s="24" t="s">
        <v>93</v>
      </c>
      <c r="Y5" s="24" t="s">
        <v>687</v>
      </c>
      <c r="Z5" s="24" t="s">
        <v>689</v>
      </c>
      <c r="AA5" s="24" t="s">
        <v>93</v>
      </c>
      <c r="AB5" s="24" t="s">
        <v>687</v>
      </c>
      <c r="AC5" s="24" t="s">
        <v>690</v>
      </c>
      <c r="AD5" s="24" t="s">
        <v>93</v>
      </c>
      <c r="AE5" s="24" t="s">
        <v>687</v>
      </c>
      <c r="AF5" s="24" t="s">
        <v>691</v>
      </c>
      <c r="AG5" s="24" t="s">
        <v>97</v>
      </c>
      <c r="AH5" s="24" t="s">
        <v>692</v>
      </c>
      <c r="AI5" s="24" t="s">
        <v>693</v>
      </c>
      <c r="AJ5" s="24" t="s">
        <v>694</v>
      </c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 t="s">
        <v>128</v>
      </c>
      <c r="AX5" s="24" t="s">
        <v>695</v>
      </c>
      <c r="AY5" s="24" t="s">
        <v>109</v>
      </c>
    </row>
    <row r="6" spans="1:51" x14ac:dyDescent="0.2">
      <c r="A6" s="27" t="s">
        <v>696</v>
      </c>
      <c r="B6" s="27" t="s">
        <v>697</v>
      </c>
      <c r="C6" s="27"/>
      <c r="D6" s="27" t="s">
        <v>79</v>
      </c>
      <c r="E6" s="28">
        <v>901412077</v>
      </c>
      <c r="F6" s="28">
        <v>132700000</v>
      </c>
      <c r="G6" s="29">
        <v>1</v>
      </c>
      <c r="H6" s="29">
        <v>781</v>
      </c>
      <c r="I6" s="27" t="s">
        <v>80</v>
      </c>
      <c r="J6" s="27" t="s">
        <v>81</v>
      </c>
      <c r="K6" s="27" t="s">
        <v>279</v>
      </c>
      <c r="L6" s="27" t="s">
        <v>280</v>
      </c>
      <c r="M6" s="27" t="s">
        <v>698</v>
      </c>
      <c r="N6" s="29">
        <v>12</v>
      </c>
      <c r="O6" s="27" t="s">
        <v>699</v>
      </c>
      <c r="P6" s="27" t="s">
        <v>700</v>
      </c>
      <c r="Q6" s="27" t="s">
        <v>701</v>
      </c>
      <c r="R6" s="27" t="s">
        <v>702</v>
      </c>
      <c r="S6" s="27" t="s">
        <v>703</v>
      </c>
      <c r="T6" s="27" t="s">
        <v>17</v>
      </c>
      <c r="U6" s="27" t="s">
        <v>704</v>
      </c>
      <c r="V6" s="27" t="s">
        <v>497</v>
      </c>
      <c r="W6" s="27" t="s">
        <v>705</v>
      </c>
      <c r="X6" s="27" t="s">
        <v>97</v>
      </c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 t="s">
        <v>706</v>
      </c>
      <c r="AL6" s="27" t="s">
        <v>100</v>
      </c>
      <c r="AM6" s="27" t="s">
        <v>497</v>
      </c>
      <c r="AN6" s="27" t="s">
        <v>707</v>
      </c>
      <c r="AO6" s="27" t="s">
        <v>708</v>
      </c>
      <c r="AP6" s="27" t="s">
        <v>100</v>
      </c>
      <c r="AQ6" s="27" t="s">
        <v>497</v>
      </c>
      <c r="AR6" s="27" t="s">
        <v>709</v>
      </c>
      <c r="AS6" s="27"/>
      <c r="AT6" s="27"/>
      <c r="AU6" s="27"/>
      <c r="AV6" s="27"/>
      <c r="AW6" s="27" t="s">
        <v>710</v>
      </c>
      <c r="AX6" s="27" t="s">
        <v>711</v>
      </c>
      <c r="AY6" s="27" t="s">
        <v>109</v>
      </c>
    </row>
    <row r="7" spans="1:51" x14ac:dyDescent="0.2">
      <c r="A7" s="24" t="s">
        <v>712</v>
      </c>
      <c r="B7" s="24" t="s">
        <v>713</v>
      </c>
      <c r="C7" s="24"/>
      <c r="D7" s="24" t="s">
        <v>79</v>
      </c>
      <c r="E7" s="25">
        <v>781418720</v>
      </c>
      <c r="F7" s="25">
        <v>133955365</v>
      </c>
      <c r="G7" s="26">
        <v>234</v>
      </c>
      <c r="H7" s="26">
        <v>963</v>
      </c>
      <c r="I7" s="24" t="s">
        <v>80</v>
      </c>
      <c r="J7" s="24" t="s">
        <v>81</v>
      </c>
      <c r="K7" s="24" t="s">
        <v>351</v>
      </c>
      <c r="L7" s="24" t="s">
        <v>352</v>
      </c>
      <c r="M7" s="24" t="s">
        <v>714</v>
      </c>
      <c r="N7" s="26">
        <v>7</v>
      </c>
      <c r="O7" s="24" t="s">
        <v>715</v>
      </c>
      <c r="P7" s="24" t="s">
        <v>716</v>
      </c>
      <c r="Q7" s="24"/>
      <c r="R7" s="24" t="s">
        <v>717</v>
      </c>
      <c r="S7" s="24" t="s">
        <v>423</v>
      </c>
      <c r="T7" s="24" t="s">
        <v>23</v>
      </c>
      <c r="U7" s="24" t="s">
        <v>718</v>
      </c>
      <c r="V7" s="24" t="s">
        <v>124</v>
      </c>
      <c r="W7" s="24" t="s">
        <v>719</v>
      </c>
      <c r="X7" s="24" t="s">
        <v>97</v>
      </c>
      <c r="Y7" s="24"/>
      <c r="Z7" s="24"/>
      <c r="AA7" s="24"/>
      <c r="AB7" s="24"/>
      <c r="AC7" s="24"/>
      <c r="AD7" s="24"/>
      <c r="AE7" s="24"/>
      <c r="AF7" s="24"/>
      <c r="AG7" s="24"/>
      <c r="AH7" s="24" t="s">
        <v>720</v>
      </c>
      <c r="AI7" s="24" t="s">
        <v>721</v>
      </c>
      <c r="AJ7" s="24" t="s">
        <v>722</v>
      </c>
      <c r="AK7" s="24" t="s">
        <v>723</v>
      </c>
      <c r="AL7" s="24" t="s">
        <v>100</v>
      </c>
      <c r="AM7" s="24" t="s">
        <v>124</v>
      </c>
      <c r="AN7" s="24" t="s">
        <v>724</v>
      </c>
      <c r="AO7" s="24" t="s">
        <v>725</v>
      </c>
      <c r="AP7" s="24" t="s">
        <v>103</v>
      </c>
      <c r="AQ7" s="24" t="s">
        <v>168</v>
      </c>
      <c r="AR7" s="24" t="s">
        <v>726</v>
      </c>
      <c r="AS7" s="24" t="s">
        <v>727</v>
      </c>
      <c r="AT7" s="24" t="s">
        <v>100</v>
      </c>
      <c r="AU7" s="24" t="s">
        <v>124</v>
      </c>
      <c r="AV7" s="24" t="s">
        <v>728</v>
      </c>
      <c r="AW7" s="24" t="s">
        <v>729</v>
      </c>
      <c r="AX7" s="24" t="s">
        <v>730</v>
      </c>
      <c r="AY7" s="24" t="s">
        <v>109</v>
      </c>
    </row>
    <row r="8" spans="1:51" x14ac:dyDescent="0.2">
      <c r="A8" s="27" t="s">
        <v>731</v>
      </c>
      <c r="B8" s="27" t="s">
        <v>732</v>
      </c>
      <c r="C8" s="27"/>
      <c r="D8" s="27" t="s">
        <v>79</v>
      </c>
      <c r="E8" s="28">
        <v>735745332</v>
      </c>
      <c r="F8" s="28">
        <v>58673120</v>
      </c>
      <c r="G8" s="29">
        <v>190</v>
      </c>
      <c r="H8" s="29">
        <v>532</v>
      </c>
      <c r="I8" s="27" t="s">
        <v>213</v>
      </c>
      <c r="J8" s="27" t="s">
        <v>81</v>
      </c>
      <c r="K8" s="27" t="s">
        <v>733</v>
      </c>
      <c r="L8" s="27" t="s">
        <v>734</v>
      </c>
      <c r="M8" s="27" t="s">
        <v>735</v>
      </c>
      <c r="N8" s="29">
        <v>0</v>
      </c>
      <c r="O8" s="27" t="s">
        <v>736</v>
      </c>
      <c r="P8" s="27" t="s">
        <v>737</v>
      </c>
      <c r="Q8" s="27"/>
      <c r="R8" s="27" t="s">
        <v>738</v>
      </c>
      <c r="S8" s="27" t="s">
        <v>739</v>
      </c>
      <c r="T8" s="27" t="s">
        <v>23</v>
      </c>
      <c r="U8" s="27" t="s">
        <v>740</v>
      </c>
      <c r="V8" s="27" t="s">
        <v>124</v>
      </c>
      <c r="W8" s="27" t="s">
        <v>741</v>
      </c>
      <c r="X8" s="27" t="s">
        <v>93</v>
      </c>
      <c r="Y8" s="27" t="s">
        <v>742</v>
      </c>
      <c r="Z8" s="27" t="s">
        <v>743</v>
      </c>
      <c r="AA8" s="27" t="s">
        <v>93</v>
      </c>
      <c r="AB8" s="27" t="s">
        <v>742</v>
      </c>
      <c r="AC8" s="27" t="s">
        <v>744</v>
      </c>
      <c r="AD8" s="27" t="s">
        <v>93</v>
      </c>
      <c r="AE8" s="27" t="s">
        <v>742</v>
      </c>
      <c r="AF8" s="27" t="s">
        <v>745</v>
      </c>
      <c r="AG8" s="27" t="s">
        <v>97</v>
      </c>
      <c r="AH8" s="27" t="s">
        <v>746</v>
      </c>
      <c r="AI8" s="27" t="s">
        <v>747</v>
      </c>
      <c r="AJ8" s="27" t="s">
        <v>748</v>
      </c>
      <c r="AK8" s="27" t="s">
        <v>749</v>
      </c>
      <c r="AL8" s="27" t="s">
        <v>320</v>
      </c>
      <c r="AM8" s="27" t="s">
        <v>742</v>
      </c>
      <c r="AN8" s="27" t="s">
        <v>750</v>
      </c>
      <c r="AO8" s="27" t="s">
        <v>751</v>
      </c>
      <c r="AP8" s="27" t="s">
        <v>103</v>
      </c>
      <c r="AQ8" s="27" t="s">
        <v>752</v>
      </c>
      <c r="AR8" s="27" t="s">
        <v>753</v>
      </c>
      <c r="AS8" s="27"/>
      <c r="AT8" s="27"/>
      <c r="AU8" s="27"/>
      <c r="AV8" s="27"/>
      <c r="AW8" s="27" t="s">
        <v>754</v>
      </c>
      <c r="AX8" s="27" t="s">
        <v>755</v>
      </c>
      <c r="AY8" s="27" t="s">
        <v>188</v>
      </c>
    </row>
    <row r="9" spans="1:51" x14ac:dyDescent="0.2">
      <c r="A9" s="24" t="s">
        <v>756</v>
      </c>
      <c r="B9" s="24" t="s">
        <v>757</v>
      </c>
      <c r="C9" s="24" t="s">
        <v>757</v>
      </c>
      <c r="D9" s="24" t="s">
        <v>79</v>
      </c>
      <c r="E9" s="25">
        <v>666661395</v>
      </c>
      <c r="F9" s="25">
        <v>138869000</v>
      </c>
      <c r="G9" s="26">
        <v>83</v>
      </c>
      <c r="H9" s="26">
        <v>618</v>
      </c>
      <c r="I9" s="24" t="s">
        <v>213</v>
      </c>
      <c r="J9" s="24" t="s">
        <v>81</v>
      </c>
      <c r="K9" s="24" t="s">
        <v>82</v>
      </c>
      <c r="L9" s="24" t="s">
        <v>83</v>
      </c>
      <c r="M9" s="24" t="s">
        <v>758</v>
      </c>
      <c r="N9" s="26">
        <v>0</v>
      </c>
      <c r="O9" s="24" t="s">
        <v>759</v>
      </c>
      <c r="P9" s="24" t="s">
        <v>760</v>
      </c>
      <c r="Q9" s="24"/>
      <c r="R9" s="24" t="s">
        <v>761</v>
      </c>
      <c r="S9" s="24" t="s">
        <v>89</v>
      </c>
      <c r="T9" s="24" t="s">
        <v>22</v>
      </c>
      <c r="U9" s="24" t="s">
        <v>762</v>
      </c>
      <c r="V9" s="24" t="s">
        <v>91</v>
      </c>
      <c r="W9" s="24" t="s">
        <v>763</v>
      </c>
      <c r="X9" s="24" t="s">
        <v>93</v>
      </c>
      <c r="Y9" s="24" t="s">
        <v>91</v>
      </c>
      <c r="Z9" s="24" t="s">
        <v>764</v>
      </c>
      <c r="AA9" s="24" t="s">
        <v>93</v>
      </c>
      <c r="AB9" s="24" t="s">
        <v>91</v>
      </c>
      <c r="AC9" s="24" t="s">
        <v>765</v>
      </c>
      <c r="AD9" s="24" t="s">
        <v>93</v>
      </c>
      <c r="AE9" s="24" t="s">
        <v>91</v>
      </c>
      <c r="AF9" s="24" t="s">
        <v>766</v>
      </c>
      <c r="AG9" s="24" t="s">
        <v>97</v>
      </c>
      <c r="AH9" s="24" t="s">
        <v>767</v>
      </c>
      <c r="AI9" s="24"/>
      <c r="AJ9" s="24"/>
      <c r="AK9" s="24" t="s">
        <v>768</v>
      </c>
      <c r="AL9" s="24" t="s">
        <v>100</v>
      </c>
      <c r="AM9" s="24"/>
      <c r="AN9" s="24"/>
      <c r="AO9" s="24" t="s">
        <v>769</v>
      </c>
      <c r="AP9" s="24" t="s">
        <v>100</v>
      </c>
      <c r="AQ9" s="24" t="s">
        <v>91</v>
      </c>
      <c r="AR9" s="24" t="s">
        <v>770</v>
      </c>
      <c r="AS9" s="24" t="s">
        <v>771</v>
      </c>
      <c r="AT9" s="24" t="s">
        <v>100</v>
      </c>
      <c r="AU9" s="24" t="s">
        <v>124</v>
      </c>
      <c r="AV9" s="24" t="s">
        <v>772</v>
      </c>
      <c r="AW9" s="24" t="s">
        <v>773</v>
      </c>
      <c r="AX9" s="24" t="s">
        <v>774</v>
      </c>
      <c r="AY9" s="24" t="s">
        <v>109</v>
      </c>
    </row>
    <row r="10" spans="1:51" x14ac:dyDescent="0.2">
      <c r="A10" s="27" t="s">
        <v>775</v>
      </c>
      <c r="B10" s="27" t="s">
        <v>776</v>
      </c>
      <c r="C10" s="27"/>
      <c r="D10" s="27" t="s">
        <v>79</v>
      </c>
      <c r="E10" s="28">
        <v>580869389</v>
      </c>
      <c r="F10" s="28">
        <v>60000000</v>
      </c>
      <c r="G10" s="29">
        <v>935</v>
      </c>
      <c r="H10" s="29">
        <v>924</v>
      </c>
      <c r="I10" s="27" t="s">
        <v>80</v>
      </c>
      <c r="J10" s="27" t="s">
        <v>81</v>
      </c>
      <c r="K10" s="27" t="s">
        <v>733</v>
      </c>
      <c r="L10" s="27" t="s">
        <v>734</v>
      </c>
      <c r="M10" s="27" t="s">
        <v>777</v>
      </c>
      <c r="N10" s="29">
        <v>1</v>
      </c>
      <c r="O10" s="27" t="s">
        <v>778</v>
      </c>
      <c r="P10" s="27"/>
      <c r="Q10" s="27" t="s">
        <v>779</v>
      </c>
      <c r="R10" s="27"/>
      <c r="S10" s="27" t="s">
        <v>780</v>
      </c>
      <c r="T10" s="27" t="s">
        <v>22</v>
      </c>
      <c r="U10" s="27" t="s">
        <v>781</v>
      </c>
      <c r="V10" s="27" t="s">
        <v>572</v>
      </c>
      <c r="W10" s="27" t="s">
        <v>782</v>
      </c>
      <c r="X10" s="27" t="s">
        <v>97</v>
      </c>
      <c r="Y10" s="27"/>
      <c r="Z10" s="27"/>
      <c r="AA10" s="27"/>
      <c r="AB10" s="27"/>
      <c r="AC10" s="27"/>
      <c r="AD10" s="27"/>
      <c r="AE10" s="27"/>
      <c r="AF10" s="27"/>
      <c r="AG10" s="27"/>
      <c r="AH10" s="27" t="s">
        <v>783</v>
      </c>
      <c r="AI10" s="27" t="s">
        <v>784</v>
      </c>
      <c r="AJ10" s="27" t="s">
        <v>785</v>
      </c>
      <c r="AK10" s="27" t="s">
        <v>786</v>
      </c>
      <c r="AL10" s="27" t="s">
        <v>320</v>
      </c>
      <c r="AM10" s="27"/>
      <c r="AN10" s="27"/>
      <c r="AO10" s="27" t="s">
        <v>787</v>
      </c>
      <c r="AP10" s="27" t="s">
        <v>480</v>
      </c>
      <c r="AQ10" s="27" t="s">
        <v>572</v>
      </c>
      <c r="AR10" s="27" t="s">
        <v>788</v>
      </c>
      <c r="AS10" s="27" t="s">
        <v>789</v>
      </c>
      <c r="AT10" s="27" t="s">
        <v>320</v>
      </c>
      <c r="AU10" s="27" t="s">
        <v>572</v>
      </c>
      <c r="AV10" s="27" t="s">
        <v>790</v>
      </c>
      <c r="AW10" s="27" t="s">
        <v>791</v>
      </c>
      <c r="AX10" s="27" t="s">
        <v>792</v>
      </c>
      <c r="AY10" s="27" t="s">
        <v>109</v>
      </c>
    </row>
    <row r="11" spans="1:51" x14ac:dyDescent="0.2">
      <c r="A11" s="24" t="s">
        <v>793</v>
      </c>
      <c r="B11" s="24" t="s">
        <v>794</v>
      </c>
      <c r="C11" s="24" t="s">
        <v>795</v>
      </c>
      <c r="D11" s="24" t="s">
        <v>79</v>
      </c>
      <c r="E11" s="25">
        <v>554976874</v>
      </c>
      <c r="F11" s="25">
        <v>56797402</v>
      </c>
      <c r="G11" s="26">
        <v>331</v>
      </c>
      <c r="H11" s="26">
        <v>913</v>
      </c>
      <c r="I11" s="24" t="s">
        <v>80</v>
      </c>
      <c r="J11" s="24" t="s">
        <v>81</v>
      </c>
      <c r="K11" s="24" t="s">
        <v>154</v>
      </c>
      <c r="L11" s="24" t="s">
        <v>155</v>
      </c>
      <c r="M11" s="24" t="s">
        <v>796</v>
      </c>
      <c r="N11" s="26">
        <v>0</v>
      </c>
      <c r="O11" s="24" t="s">
        <v>797</v>
      </c>
      <c r="P11" s="24" t="s">
        <v>798</v>
      </c>
      <c r="Q11" s="24" t="s">
        <v>799</v>
      </c>
      <c r="R11" s="24" t="s">
        <v>800</v>
      </c>
      <c r="S11" s="24" t="s">
        <v>801</v>
      </c>
      <c r="T11" s="24" t="s">
        <v>21</v>
      </c>
      <c r="U11" s="24" t="s">
        <v>802</v>
      </c>
      <c r="V11" s="24" t="s">
        <v>342</v>
      </c>
      <c r="W11" s="24" t="s">
        <v>803</v>
      </c>
      <c r="X11" s="24" t="s">
        <v>97</v>
      </c>
      <c r="Y11" s="24"/>
      <c r="Z11" s="24"/>
      <c r="AA11" s="24"/>
      <c r="AB11" s="24"/>
      <c r="AC11" s="24"/>
      <c r="AD11" s="24"/>
      <c r="AE11" s="24"/>
      <c r="AF11" s="24"/>
      <c r="AG11" s="24"/>
      <c r="AH11" s="24" t="s">
        <v>804</v>
      </c>
      <c r="AI11" s="24"/>
      <c r="AJ11" s="24"/>
      <c r="AK11" s="24" t="s">
        <v>805</v>
      </c>
      <c r="AL11" s="24" t="s">
        <v>244</v>
      </c>
      <c r="AM11" s="24" t="s">
        <v>262</v>
      </c>
      <c r="AN11" s="24" t="s">
        <v>806</v>
      </c>
      <c r="AO11" s="24" t="s">
        <v>807</v>
      </c>
      <c r="AP11" s="24" t="s">
        <v>100</v>
      </c>
      <c r="AQ11" s="24" t="s">
        <v>606</v>
      </c>
      <c r="AR11" s="24" t="s">
        <v>808</v>
      </c>
      <c r="AS11" s="24" t="s">
        <v>809</v>
      </c>
      <c r="AT11" s="24" t="s">
        <v>103</v>
      </c>
      <c r="AU11" s="24" t="s">
        <v>572</v>
      </c>
      <c r="AV11" s="24" t="s">
        <v>810</v>
      </c>
      <c r="AW11" s="24" t="s">
        <v>811</v>
      </c>
      <c r="AX11" s="24" t="s">
        <v>812</v>
      </c>
      <c r="AY11" s="24" t="s">
        <v>109</v>
      </c>
    </row>
    <row r="12" spans="1:51" x14ac:dyDescent="0.2">
      <c r="A12" s="27" t="s">
        <v>813</v>
      </c>
      <c r="B12" s="27" t="s">
        <v>814</v>
      </c>
      <c r="C12" s="27" t="s">
        <v>815</v>
      </c>
      <c r="D12" s="27" t="s">
        <v>79</v>
      </c>
      <c r="E12" s="28">
        <v>522234686</v>
      </c>
      <c r="F12" s="28">
        <v>98877651</v>
      </c>
      <c r="G12" s="29"/>
      <c r="H12" s="29">
        <v>805</v>
      </c>
      <c r="I12" s="27" t="s">
        <v>80</v>
      </c>
      <c r="J12" s="27" t="s">
        <v>81</v>
      </c>
      <c r="K12" s="27" t="s">
        <v>816</v>
      </c>
      <c r="L12" s="27" t="s">
        <v>817</v>
      </c>
      <c r="M12" s="27" t="s">
        <v>818</v>
      </c>
      <c r="N12" s="29">
        <v>0</v>
      </c>
      <c r="O12" s="27" t="s">
        <v>819</v>
      </c>
      <c r="P12" s="27" t="s">
        <v>820</v>
      </c>
      <c r="Q12" s="27" t="s">
        <v>821</v>
      </c>
      <c r="R12" s="27" t="s">
        <v>88</v>
      </c>
      <c r="S12" s="27" t="s">
        <v>822</v>
      </c>
      <c r="T12" s="27" t="s">
        <v>19</v>
      </c>
      <c r="U12" s="27" t="s">
        <v>823</v>
      </c>
      <c r="V12" s="27" t="s">
        <v>245</v>
      </c>
      <c r="W12" s="27" t="s">
        <v>824</v>
      </c>
      <c r="X12" s="27" t="s">
        <v>97</v>
      </c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 t="s">
        <v>825</v>
      </c>
      <c r="AL12" s="27" t="s">
        <v>103</v>
      </c>
      <c r="AM12" s="27" t="s">
        <v>245</v>
      </c>
      <c r="AN12" s="27" t="s">
        <v>826</v>
      </c>
      <c r="AO12" s="27" t="s">
        <v>827</v>
      </c>
      <c r="AP12" s="27" t="s">
        <v>100</v>
      </c>
      <c r="AQ12" s="27" t="s">
        <v>519</v>
      </c>
      <c r="AR12" s="27" t="s">
        <v>828</v>
      </c>
      <c r="AS12" s="27" t="s">
        <v>829</v>
      </c>
      <c r="AT12" s="27" t="s">
        <v>100</v>
      </c>
      <c r="AU12" s="27" t="s">
        <v>245</v>
      </c>
      <c r="AV12" s="27" t="s">
        <v>830</v>
      </c>
      <c r="AW12" s="27" t="s">
        <v>831</v>
      </c>
      <c r="AX12" s="27" t="s">
        <v>832</v>
      </c>
      <c r="AY12" s="27" t="s">
        <v>109</v>
      </c>
    </row>
  </sheetData>
  <autoFilter ref="A4:AY12" xr:uid="{00000000-0009-0000-0000-000004000000}"/>
  <mergeCells count="2">
    <mergeCell ref="A1:AY1"/>
    <mergeCell ref="A2:AY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Resumo</vt:lpstr>
      <vt:lpstr>sandra</vt:lpstr>
      <vt:lpstr>adriana</vt:lpstr>
      <vt:lpstr>gislaine</vt:lpstr>
      <vt:lpstr>eduardo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Nicholson Pimentel</cp:lastModifiedBy>
  <cp:revision>0</cp:revision>
  <dcterms:created xsi:type="dcterms:W3CDTF">2026-04-23T12:08:01Z</dcterms:created>
  <dcterms:modified xsi:type="dcterms:W3CDTF">2026-04-23T12:53:23Z</dcterms:modified>
  <dc:language>en-US</dc:language>
</cp:coreProperties>
</file>