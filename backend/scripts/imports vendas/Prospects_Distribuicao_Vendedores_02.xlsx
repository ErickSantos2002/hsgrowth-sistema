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icholsonpimentel/Downloads/"/>
    </mc:Choice>
  </mc:AlternateContent>
  <xr:revisionPtr revIDLastSave="0" documentId="8_{8DB62A17-C211-5542-AE24-DDA2598AE99C}" xr6:coauthVersionLast="47" xr6:coauthVersionMax="47" xr10:uidLastSave="{00000000-0000-0000-0000-000000000000}"/>
  <bookViews>
    <workbookView xWindow="0" yWindow="0" windowWidth="38400" windowHeight="21600" tabRatio="500" activeTab="4" xr2:uid="{00000000-000D-0000-FFFF-FFFF00000000}"/>
  </bookViews>
  <sheets>
    <sheet name="Resumo" sheetId="1" r:id="rId1"/>
    <sheet name="SANDRA" sheetId="2" r:id="rId2"/>
    <sheet name="ADRIANA" sheetId="3" r:id="rId3"/>
    <sheet name="GISLAINE" sheetId="4" r:id="rId4"/>
    <sheet name="EDUARDO" sheetId="5" r:id="rId5"/>
  </sheets>
  <definedNames>
    <definedName name="_xlnm._FilterDatabase" localSheetId="2" hidden="1">ADRIANA!$A$4:$AY$51</definedName>
    <definedName name="_xlnm._FilterDatabase" localSheetId="4" hidden="1">EDUARDO!$A$4:$AY$50</definedName>
    <definedName name="_xlnm._FilterDatabase" localSheetId="3" hidden="1">GISLAINE!$A$4:$AY$51</definedName>
    <definedName name="_xlnm._FilterDatabase" localSheetId="1" hidden="1">SANDRA!$A$4:$AY$51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D9" i="1"/>
  <c r="C9" i="1"/>
  <c r="B9" i="1"/>
  <c r="D8" i="1"/>
  <c r="C8" i="1"/>
  <c r="B8" i="1"/>
  <c r="D7" i="1"/>
  <c r="C7" i="1"/>
  <c r="B7" i="1"/>
  <c r="D6" i="1"/>
  <c r="D10" i="1" s="1"/>
  <c r="C6" i="1"/>
  <c r="C10" i="1" s="1"/>
  <c r="B6" i="1"/>
  <c r="B10" i="1" s="1"/>
</calcChain>
</file>

<file path=xl/sharedStrings.xml><?xml version="1.0" encoding="utf-8"?>
<sst xmlns="http://schemas.openxmlformats.org/spreadsheetml/2006/main" count="7581" uniqueCount="3935">
  <si>
    <t>Distribuição de Prospects por Vendedor</t>
  </si>
  <si>
    <t>Critério de distribuição: round-robin (intercalado) para balancear UF e setor entre os 4 vendedores.</t>
  </si>
  <si>
    <t>Vendedor</t>
  </si>
  <si>
    <t>Qtd. Empresas</t>
  </si>
  <si>
    <t>Faturamento Total Presumido (R$)</t>
  </si>
  <si>
    <t>Total Funcionários</t>
  </si>
  <si>
    <t>Vendedor 1</t>
  </si>
  <si>
    <t>Vendedor 2</t>
  </si>
  <si>
    <t>Vendedor 3</t>
  </si>
  <si>
    <t>Vendedor 4</t>
  </si>
  <si>
    <t>TOTAL</t>
  </si>
  <si>
    <t>Distribuição por UF</t>
  </si>
  <si>
    <t>UF</t>
  </si>
  <si>
    <t>Total</t>
  </si>
  <si>
    <t>AC</t>
  </si>
  <si>
    <t>AM</t>
  </si>
  <si>
    <t>BA</t>
  </si>
  <si>
    <t>CE</t>
  </si>
  <si>
    <t>DF</t>
  </si>
  <si>
    <t>ES</t>
  </si>
  <si>
    <t>GO</t>
  </si>
  <si>
    <t>MG</t>
  </si>
  <si>
    <t>MS</t>
  </si>
  <si>
    <t>MT</t>
  </si>
  <si>
    <t>PE</t>
  </si>
  <si>
    <t>PI</t>
  </si>
  <si>
    <t>PR</t>
  </si>
  <si>
    <t>RJ</t>
  </si>
  <si>
    <t>RS</t>
  </si>
  <si>
    <t>SC</t>
  </si>
  <si>
    <t>SE</t>
  </si>
  <si>
    <t>SP</t>
  </si>
  <si>
    <t>Dica: cada aba já vem com filtro automático, cabeçalho congelado e as 3 primeiras colunas fixadas para facilitar a navegação.</t>
  </si>
  <si>
    <t>Carteira de Prospects — Vendedor 1</t>
  </si>
  <si>
    <t>Total de empresas: 47  |  Porte: GRANDE  |  Fonte: Base de prospecção</t>
  </si>
  <si>
    <t>CNPJ</t>
  </si>
  <si>
    <t>Razão Social</t>
  </si>
  <si>
    <t>Nome Fantasia</t>
  </si>
  <si>
    <t>Porte</t>
  </si>
  <si>
    <t>Faturamento Presumido (R$)</t>
  </si>
  <si>
    <t>Capital Social (R$)</t>
  </si>
  <si>
    <t>Qtd. Funcionários</t>
  </si>
  <si>
    <t>Score</t>
  </si>
  <si>
    <t>Classificação de Risco</t>
  </si>
  <si>
    <t>Situação Cadastral</t>
  </si>
  <si>
    <t>CNAE</t>
  </si>
  <si>
    <t>Atividade Principal</t>
  </si>
  <si>
    <t>Data Abertura</t>
  </si>
  <si>
    <t>Qtd. Filiais</t>
  </si>
  <si>
    <t>Logradouro</t>
  </si>
  <si>
    <t>Nº</t>
  </si>
  <si>
    <t>Complemento</t>
  </si>
  <si>
    <t>Bairro</t>
  </si>
  <si>
    <t>Cidade</t>
  </si>
  <si>
    <t>CEP</t>
  </si>
  <si>
    <t>DDD 1</t>
  </si>
  <si>
    <t>Telefone 1</t>
  </si>
  <si>
    <t>Tipo 1</t>
  </si>
  <si>
    <t>DDD 2</t>
  </si>
  <si>
    <t>Telefone 2</t>
  </si>
  <si>
    <t>Tipo 2</t>
  </si>
  <si>
    <t>DDD 3</t>
  </si>
  <si>
    <t>Telefone 3</t>
  </si>
  <si>
    <t>Tipo 3</t>
  </si>
  <si>
    <t>DDD 4</t>
  </si>
  <si>
    <t>Telefone 4</t>
  </si>
  <si>
    <t>Tipo 4</t>
  </si>
  <si>
    <t>E-mail 1</t>
  </si>
  <si>
    <t>E-mail 2</t>
  </si>
  <si>
    <t>E-mail 3</t>
  </si>
  <si>
    <t>Sócio 1</t>
  </si>
  <si>
    <t>Cargo Sócio 1</t>
  </si>
  <si>
    <t>DDD Sócio 1</t>
  </si>
  <si>
    <t>Tel. Sócio 1</t>
  </si>
  <si>
    <t>Sócio 2</t>
  </si>
  <si>
    <t>Cargo Sócio 2</t>
  </si>
  <si>
    <t>DDD Sócio 2</t>
  </si>
  <si>
    <t>Tel. Sócio 2</t>
  </si>
  <si>
    <t>Sócio 3</t>
  </si>
  <si>
    <t>Cargo Sócio 3</t>
  </si>
  <si>
    <t>DDD Sócio 3</t>
  </si>
  <si>
    <t>Tel. Sócio 3</t>
  </si>
  <si>
    <t>CNAEs Secundários</t>
  </si>
  <si>
    <t>Inscrição Estadual</t>
  </si>
  <si>
    <t>Flag DAU</t>
  </si>
  <si>
    <t>59.105.262/0001-63</t>
  </si>
  <si>
    <t>TRANSAUTO TRANSPORTES ESPECIALIZADOS DE AUTOMOVEIS S A</t>
  </si>
  <si>
    <t>GRANDE</t>
  </si>
  <si>
    <t>RISCO MUITO BAIXO</t>
  </si>
  <si>
    <t>ATIVA</t>
  </si>
  <si>
    <t>4930202</t>
  </si>
  <si>
    <t>Transporte rodoviário de carga, exceto produtos perigosos e mudanças, intermunicipal, interestadual e internacional</t>
  </si>
  <si>
    <t>7/20/1966</t>
  </si>
  <si>
    <t>SENADOR VERGUEIRO</t>
  </si>
  <si>
    <t>4600</t>
  </si>
  <si>
    <t>RUDGE RAMOS</t>
  </si>
  <si>
    <t>SAO BERNARDO DO CAMPO</t>
  </si>
  <si>
    <t>9604000</t>
  </si>
  <si>
    <t>11</t>
  </si>
  <si>
    <t>930660337</t>
  </si>
  <si>
    <t>Celular</t>
  </si>
  <si>
    <t>956962202</t>
  </si>
  <si>
    <t>963888459</t>
  </si>
  <si>
    <t>43663400</t>
  </si>
  <si>
    <t>Fixo</t>
  </si>
  <si>
    <t>CONTAB@TRANSAUTO.COM.BR</t>
  </si>
  <si>
    <t>ADRIANA@TRANSAUTO.COM.BR</t>
  </si>
  <si>
    <t>ALEXANDRE@TRANSAUTO.COM.BR</t>
  </si>
  <si>
    <t>ANA LUIZA MENEZES DE GOES</t>
  </si>
  <si>
    <t>DIRETOR</t>
  </si>
  <si>
    <t>992041313</t>
  </si>
  <si>
    <t>ERYX DE OLIVEIRA</t>
  </si>
  <si>
    <t>991834832</t>
  </si>
  <si>
    <t>4520007-Serviços de instalação, manutenção e reparação de acessórios para veículos automotores\4930201-Transporte rodoviário de carga, exceto produtos perigosos e mudanças, municipal\5229002-Serviços de reboque de veículos\</t>
  </si>
  <si>
    <t>635.031.050.113</t>
  </si>
  <si>
    <t>N</t>
  </si>
  <si>
    <t>01.934.441/0001-23</t>
  </si>
  <si>
    <t>TRANSPORTES SARZEDO LTDA</t>
  </si>
  <si>
    <t>4930201</t>
  </si>
  <si>
    <t>Transporte rodoviário de carga, exceto produtos perigosos e mudanças, municipal</t>
  </si>
  <si>
    <t>6/24/1997</t>
  </si>
  <si>
    <t>CAMPOS ELISIOS</t>
  </si>
  <si>
    <t>371</t>
  </si>
  <si>
    <t>BRASILIA</t>
  </si>
  <si>
    <t>SARZEDO</t>
  </si>
  <si>
    <t>32450000</t>
  </si>
  <si>
    <t>31</t>
  </si>
  <si>
    <t>971857584</t>
  </si>
  <si>
    <t>998885048</t>
  </si>
  <si>
    <t>971108927</t>
  </si>
  <si>
    <t>35778749</t>
  </si>
  <si>
    <t>CACAMBAS.ATERRO@TSLSOLUCOES.COM.BR</t>
  </si>
  <si>
    <t>JOSE DONIZETE DE SOUZA MAIA</t>
  </si>
  <si>
    <t>SOCIO ADMINISTRADOR</t>
  </si>
  <si>
    <t>999672488</t>
  </si>
  <si>
    <t>JOAO PAULO MOREIRA DE SOUSA</t>
  </si>
  <si>
    <t>ADMINISTRADOR</t>
  </si>
  <si>
    <t>EDUARDO MENDES DE SOUSA MAIA</t>
  </si>
  <si>
    <t>991587550</t>
  </si>
  <si>
    <t>3811400-Coleta de resíduos não perigosos\4313400-Obras de terraplenagem\4319300-Serviços de preparação do terreno não especificados anteriormente\4929902-Transporte rodoviário coletivo de passageiros, sob regime de fretamento, intermunicipal, interestadual e internacional\4930202-Transporte rodoviário de carga, exceto produtos perigosos e mudanças, intermunicipal, interestadual e internacional\4930203-Transporte rodoviário de produtos perigosos\5212500-Carga e descarga\7739099-Aluguel de outras máquinas e equipamentos comerciais e industriais não especificados anteriormente, sem operador\7820500-Locação de mão de obra temporária\8129000-Atividades de limpeza não especificadas anteriormente</t>
  </si>
  <si>
    <t>850041085.00-38</t>
  </si>
  <si>
    <t>11.727.497/0001-60</t>
  </si>
  <si>
    <t>NATURAVES INDUSTRIA E COMERCIO DE ALIMENTOS LTDA</t>
  </si>
  <si>
    <t>RISCO BAIXO</t>
  </si>
  <si>
    <t>1012101</t>
  </si>
  <si>
    <t>Abate de aves</t>
  </si>
  <si>
    <t>3/16/2010</t>
  </si>
  <si>
    <t>RUY BARBOSA 479</t>
  </si>
  <si>
    <t>FAZENDA RESPLENDOR</t>
  </si>
  <si>
    <t>CENTRO</t>
  </si>
  <si>
    <t>EUNAPOLIS</t>
  </si>
  <si>
    <t>45820970</t>
  </si>
  <si>
    <t>73</t>
  </si>
  <si>
    <t>999551456</t>
  </si>
  <si>
    <t>998681454</t>
  </si>
  <si>
    <t>998712612</t>
  </si>
  <si>
    <t>31662450</t>
  </si>
  <si>
    <t>FISCAL2@NATURAVES.COM.BR</t>
  </si>
  <si>
    <t>JUSCIMAR MODENEZI DE ALMEIDA</t>
  </si>
  <si>
    <t>999851115</t>
  </si>
  <si>
    <t>CLEOMAR MODENEZI DE ALMEIDA</t>
  </si>
  <si>
    <t>981591409</t>
  </si>
  <si>
    <t>CESCONETTO E FILHOS PARTICIPACOES SOCIETARIAS LTDA</t>
  </si>
  <si>
    <t>SOCIO</t>
  </si>
  <si>
    <t>0111302-Cultivo de milho\0155501-Criação de frangos para corte\0155502-Produção de pintos de um dia\1013901-Fabricação de produtos de carne\1013902-Preparação de subprodutos do abate\1066000-Fabricação de alimentos para animais\4623109-Comércio atacadista de alimentos para animais\4634602-Comércio atacadista de aves abatidas e derivados\4639701-Comércio atacadista de produtos alimentícios em geral\4930202-Transporte rodoviário de carga, exceto produtos perigosos e mudanças, intermunicipal, interestadual e internacional\5620101-Fornecimento de alimentos preparados preponderantemente para empresas\</t>
  </si>
  <si>
    <t>086.309.978</t>
  </si>
  <si>
    <t>02.326.750/0001-83</t>
  </si>
  <si>
    <t>INTERCAST S/A</t>
  </si>
  <si>
    <t>2451200</t>
  </si>
  <si>
    <t>Fundição de ferro e aço</t>
  </si>
  <si>
    <t>1/21/1998</t>
  </si>
  <si>
    <t>MG-050</t>
  </si>
  <si>
    <t>KM 92</t>
  </si>
  <si>
    <t>DISTRITO INDUSTRIAL</t>
  </si>
  <si>
    <t>ITAUNA</t>
  </si>
  <si>
    <t>35681750</t>
  </si>
  <si>
    <t>37</t>
  </si>
  <si>
    <t>998566598</t>
  </si>
  <si>
    <t>998248452</t>
  </si>
  <si>
    <t>998765162</t>
  </si>
  <si>
    <t>32497040</t>
  </si>
  <si>
    <t>FERNANDA@INTERCAST.COM.BR</t>
  </si>
  <si>
    <t>INTERCAST@INTERCAST.COM.BR</t>
  </si>
  <si>
    <t>LILIAN@INTERCAST.COM.BR</t>
  </si>
  <si>
    <t>CASSIO MOREIRA MACHADO</t>
  </si>
  <si>
    <t>PRESIDENTE</t>
  </si>
  <si>
    <t>991214401</t>
  </si>
  <si>
    <t>SAMUEL NOGUEIRA RABELO DE MELO</t>
  </si>
  <si>
    <t>2543800-Fabricação de ferramentas\3319800-Manutenção e reparação de equipamentos e produtos não especificados anteriormente\4663000-Comércio atacadista de máquinas e equipamentos para uso industrial, partes e peças\</t>
  </si>
  <si>
    <t>338726365.00-33</t>
  </si>
  <si>
    <t>19.749.936/0001-48</t>
  </si>
  <si>
    <t>GSL METALURGICA S/A</t>
  </si>
  <si>
    <t>2511000</t>
  </si>
  <si>
    <t>Fabricação de estruturas metálicas</t>
  </si>
  <si>
    <t>8/11/1977</t>
  </si>
  <si>
    <t>ENGENHEIRO SERGIO MACULAN</t>
  </si>
  <si>
    <t>120</t>
  </si>
  <si>
    <t>DISTRITO INDUSTRIAL SIMAO DA CUNHA</t>
  </si>
  <si>
    <t>SABARA</t>
  </si>
  <si>
    <t>34735022</t>
  </si>
  <si>
    <t>995330574</t>
  </si>
  <si>
    <t>971358821</t>
  </si>
  <si>
    <t>999589015</t>
  </si>
  <si>
    <t>36793100</t>
  </si>
  <si>
    <t>GSL@GSL.COM.BR</t>
  </si>
  <si>
    <t>COMPRAS2@GSL.COM.BR</t>
  </si>
  <si>
    <t>QUALIDADE@GSL.COM.BR</t>
  </si>
  <si>
    <t>FABIANO DE SOUZA BATISTA</t>
  </si>
  <si>
    <t>CONSELHEIRO DE ADMINISTRACAO</t>
  </si>
  <si>
    <t>984043997</t>
  </si>
  <si>
    <t>DANIEL CARVALHO MARTINS</t>
  </si>
  <si>
    <t>992750300</t>
  </si>
  <si>
    <t>JANINE CARVALHO MARTINS</t>
  </si>
  <si>
    <t>81</t>
  </si>
  <si>
    <t>991417313</t>
  </si>
  <si>
    <t>2539002-Serviços de tratamento e revestimento em metais\4292801-Montagem de estruturas metálicas\7112000-Serviços de engenharia\</t>
  </si>
  <si>
    <t>578260161.00-70</t>
  </si>
  <si>
    <t>09.078.935/0001-65</t>
  </si>
  <si>
    <t>STARNAV SERVICOS MARITIMOS LTDA.</t>
  </si>
  <si>
    <t>RISCO MÉDIO</t>
  </si>
  <si>
    <t>5030101</t>
  </si>
  <si>
    <t>Navegação de apoio marítimo</t>
  </si>
  <si>
    <t>9/25/2007</t>
  </si>
  <si>
    <t>CESAR AUGUSTO DALSOQUIO</t>
  </si>
  <si>
    <t>4500</t>
  </si>
  <si>
    <t>SALAA</t>
  </si>
  <si>
    <t>SALSEIROS</t>
  </si>
  <si>
    <t>ITAJAI</t>
  </si>
  <si>
    <t>88311500</t>
  </si>
  <si>
    <t>22</t>
  </si>
  <si>
    <t>996161482</t>
  </si>
  <si>
    <t>996161655</t>
  </si>
  <si>
    <t>999211094</t>
  </si>
  <si>
    <t>47</t>
  </si>
  <si>
    <t>21038561</t>
  </si>
  <si>
    <t>WKBRA@DETROIT.CL</t>
  </si>
  <si>
    <t>DETROIT UK INTERNATIONAL LLP</t>
  </si>
  <si>
    <t>SOCIO PESSOA JURIDICA DOMICILIADO NO EXTERIOR</t>
  </si>
  <si>
    <t>JULIANO ZIMMERMANN DE FREITAS</t>
  </si>
  <si>
    <t>999279442</t>
  </si>
  <si>
    <t>4669999-Comércio atacadista de outras máquinas e equipamentos não especificados anteriormente, partes e peças\5011401-Transporte marítimo de cabotagem - Carga\5011402-Transporte marítimo de cabotagem - Passageiros\5012201-Transporte marítimo de longo curso - Carga\5012202-Transporte marítimo de longo curso - Passageiros\5021102-Transporte por navegação interior de carga, intermunicipal, interestadual e internacional, exceto travessia\5022002-Transporte por navegação interior de passageiros em linhas regulares, intermunicipal, interestadual e internacional, exceto travessia\5030102-Navegação de apoio portuário\5030103-Serviço de rebocadores e empurradores\6462000-Holdings de instituições não financeiras\6463800-Outras sociedades de participação, exceto holdings\7719501-Locação de embarcações sem tripulação, exceto para finsrecreativos</t>
  </si>
  <si>
    <t>255858620</t>
  </si>
  <si>
    <t>04.731.861/0001-09</t>
  </si>
  <si>
    <t>INTERALLI GRAOS TERMINAIS S.A</t>
  </si>
  <si>
    <t>5231102</t>
  </si>
  <si>
    <t>Atividades do Operador Portuário</t>
  </si>
  <si>
    <t>10/22/2001</t>
  </si>
  <si>
    <t>PORTUARIA</t>
  </si>
  <si>
    <t>DOM PEDRO II</t>
  </si>
  <si>
    <t>PARANAGUA</t>
  </si>
  <si>
    <t>83221570</t>
  </si>
  <si>
    <t>984631182</t>
  </si>
  <si>
    <t>41</t>
  </si>
  <si>
    <t>32210707</t>
  </si>
  <si>
    <t>CONTADOR1@INTERALLI.COM.BR</t>
  </si>
  <si>
    <t>ANGELA@INTERALLI.COM.BR</t>
  </si>
  <si>
    <t>ANDERSON@INTERALLI.COM.BR</t>
  </si>
  <si>
    <t>CRISTIANO SLAVIERO FUMAGALLI</t>
  </si>
  <si>
    <t>43</t>
  </si>
  <si>
    <t>999579325</t>
  </si>
  <si>
    <t>FELIPE SLAVIERO FUMAGALLI</t>
  </si>
  <si>
    <t>999741354</t>
  </si>
  <si>
    <t>FABRICIO SLAVIERO FUMAGALLI</t>
  </si>
  <si>
    <t>66</t>
  </si>
  <si>
    <t>999540930</t>
  </si>
  <si>
    <t>5211701-Armazéns gerais - emissão de warrant\5232000-Atividades de agenciamento marítimo\5250801-Comissaria de despachos\5250803-Agenciamento de cargas, exceto para o transporte marítimo</t>
  </si>
  <si>
    <t>90529181-51</t>
  </si>
  <si>
    <t>17.578.354/0001-10</t>
  </si>
  <si>
    <t>ITESAPAR FUNDICAO LTDA</t>
  </si>
  <si>
    <t>ITESAPAR FUNDICAO</t>
  </si>
  <si>
    <t>RISCO ALTO</t>
  </si>
  <si>
    <t>2452100</t>
  </si>
  <si>
    <t>Fundição de metais não ferrosos e suas ligas</t>
  </si>
  <si>
    <t>2/7/2013</t>
  </si>
  <si>
    <t>PE ANCHIETA</t>
  </si>
  <si>
    <t>112</t>
  </si>
  <si>
    <t>LT 12 LT 12 112</t>
  </si>
  <si>
    <t>VL VIDA</t>
  </si>
  <si>
    <t>PALMEIRA</t>
  </si>
  <si>
    <t>84130000</t>
  </si>
  <si>
    <t>42</t>
  </si>
  <si>
    <t>32528536</t>
  </si>
  <si>
    <t>CONTABIL@ITESAPAR.COM.BR</t>
  </si>
  <si>
    <t>DIRETORIA@ITESA.COM.BR</t>
  </si>
  <si>
    <t>ADIR.SANTOS@ITESAPAR.COM.BR</t>
  </si>
  <si>
    <t>MARCELO RIBEIRO</t>
  </si>
  <si>
    <t>SOCIO-ADMINISTRADOR</t>
  </si>
  <si>
    <t>959501724</t>
  </si>
  <si>
    <t>2539001-Serviços de usinagem, torneiria e solda\7739001-Aluguel de máquinas e equipamentos para extração de minérios e petróleo, sem operador</t>
  </si>
  <si>
    <t>90621463-60</t>
  </si>
  <si>
    <t>S</t>
  </si>
  <si>
    <t>04.535.453/0001-73</t>
  </si>
  <si>
    <t>BRASCERAS S.A. INDUSTRIA E COMERCIO</t>
  </si>
  <si>
    <t>GEQUIMICA INDUSTRIA E COMERCIO</t>
  </si>
  <si>
    <t>1921700</t>
  </si>
  <si>
    <t>Fabricação de produtos do refino de petróleo</t>
  </si>
  <si>
    <t>6/21/2001</t>
  </si>
  <si>
    <t>COPACABANA</t>
  </si>
  <si>
    <t>190</t>
  </si>
  <si>
    <t>SALA 801 E 802</t>
  </si>
  <si>
    <t>DEZOITO DO FORTE EMPRESARIAL/ALPHAVILLE.</t>
  </si>
  <si>
    <t>BARUERI</t>
  </si>
  <si>
    <t>6472001</t>
  </si>
  <si>
    <t>41338111</t>
  </si>
  <si>
    <t>ANDREIA.ZEBELLINI@GEQUIMICA.COM.BR</t>
  </si>
  <si>
    <t>CLELIO@GEQUIMICA.COM.BR</t>
  </si>
  <si>
    <t>ADILSON.XAVIER@GEQUIMICA.COM.BR</t>
  </si>
  <si>
    <t>KLEBER REIMBERG GUTSCHOW</t>
  </si>
  <si>
    <t>983549171</t>
  </si>
  <si>
    <t>GISELE CIRILO SILVESTRE</t>
  </si>
  <si>
    <t>999562014</t>
  </si>
  <si>
    <t>2099199-Fabricação de outros produtos químicos não especificados anteriormente\4612500-Representantes comerciais e agentes do comércio de combustíveis, minerais, produtos siderúrgicos e químicos\4684299-Comércio atacadista de outros produtos químicos e petroquímicos não especificados anteriormente\4693100-Comércio atacadista de mercadorias em geral, sem predominância de alimentos ou de insumos agropecuários\4930201-Transporte rodoviário de carga, exceto produtos perigosos e mudanças, municipal\4930202-Transporte rodoviário de carga, exceto produtos perigosos e mudanças, intermunicipal, interestadual e internacional\5250803-Agenciamento de cargas, exceto para o transporte marítimo\7719599-Locação de outros meios de transporte não especificados anteriormente, sem condutor\8211300-Serviços combinados de escritório e apoio administrativo\</t>
  </si>
  <si>
    <t>90247455-27</t>
  </si>
  <si>
    <t>60.319.985/0001-44</t>
  </si>
  <si>
    <t>JOMED TRANSPORTES E LOGISTICA S/A</t>
  </si>
  <si>
    <t>3/31/1989</t>
  </si>
  <si>
    <t>SISA</t>
  </si>
  <si>
    <t>261</t>
  </si>
  <si>
    <t>CIDADE INDUSTRIAL SATELITE DE SAO PAULO</t>
  </si>
  <si>
    <t>GUARULHOS</t>
  </si>
  <si>
    <t>7221030</t>
  </si>
  <si>
    <t>27</t>
  </si>
  <si>
    <t>974001210</t>
  </si>
  <si>
    <t>971965330</t>
  </si>
  <si>
    <t>49668215</t>
  </si>
  <si>
    <t>SIDNEI.ALVES@JOMEDLOG.COM.BR</t>
  </si>
  <si>
    <t>COMERCIAL@JOMEDLOG.COM.BR</t>
  </si>
  <si>
    <t>ODAIR BRAGA GARRIDO</t>
  </si>
  <si>
    <t>TITULAR PESSOA FISICA RESIDENTE OU DOMICILIADO NO BRASIL</t>
  </si>
  <si>
    <t>940321440</t>
  </si>
  <si>
    <t>JOCELIA DE JESUS CAMPOS</t>
  </si>
  <si>
    <t>997236372</t>
  </si>
  <si>
    <t>4930201-Transporte rodoviário de carga, exceto produtos perigosos e mudanças, municipal\4930203-Transporte rodoviário de produtos perigosos\5211701-Armazéns gerais - emissão de warrant\5211799-Depósitos de mercadorias para terceiros, exceto armazéns gerais e guarda-móveis\5212500-Carga e descarga\5250805-Operador de transporte multimodal - OTM\5320201-Serviços de malote não realizados pelo Correio Nacional\5320202-Serviços de entrega rápida\7719599-Locação de outros meios de transporte não especificados anteriormente, sem condutor\</t>
  </si>
  <si>
    <t>796.529.849.112</t>
  </si>
  <si>
    <t>02.462.805/0001-82</t>
  </si>
  <si>
    <t>FM LOGISTIC DO BRASIL OPERACOES DE LOGISTICA LTDA.</t>
  </si>
  <si>
    <t>5211701</t>
  </si>
  <si>
    <t>Armazéns gerais - emissão de warrant</t>
  </si>
  <si>
    <t>3/6/1998</t>
  </si>
  <si>
    <t>ANHANGUERA</t>
  </si>
  <si>
    <t>KM26 421 PREDIO 1 SALA1</t>
  </si>
  <si>
    <t>JARDIM JARAGUA</t>
  </si>
  <si>
    <t>SAO PAULO</t>
  </si>
  <si>
    <t>5275000</t>
  </si>
  <si>
    <t>984358933</t>
  </si>
  <si>
    <t>984358691</t>
  </si>
  <si>
    <t>984346784</t>
  </si>
  <si>
    <t>21099400</t>
  </si>
  <si>
    <t>CPFISCAL@FMLOGISTIC.COM.BR</t>
  </si>
  <si>
    <t>FM LOGISTIC SERVICES</t>
  </si>
  <si>
    <t>FM LOGISTIC CORPORATE</t>
  </si>
  <si>
    <t>RONALDO FERNANDES DA SILVA</t>
  </si>
  <si>
    <t>19</t>
  </si>
  <si>
    <t>981377125</t>
  </si>
  <si>
    <t>4930202-Transporte rodoviário de carga, exceto produtos perigosos e mudanças, intermunicipal, interestadual e internacional\8292000-Envasamento e empacotamento sob contrato</t>
  </si>
  <si>
    <t>142.238.168.114</t>
  </si>
  <si>
    <t>39.397.682/0001-53</t>
  </si>
  <si>
    <t>BUSATO - TRANSPORTES E LOCACOES LTDA</t>
  </si>
  <si>
    <t>2/3/1993</t>
  </si>
  <si>
    <t>GAIVOTA</t>
  </si>
  <si>
    <t>1640</t>
  </si>
  <si>
    <t>NOVO HORIZONTE</t>
  </si>
  <si>
    <t>SERRA</t>
  </si>
  <si>
    <t>29163322</t>
  </si>
  <si>
    <t>997681925</t>
  </si>
  <si>
    <t>996168132</t>
  </si>
  <si>
    <t>992551869</t>
  </si>
  <si>
    <t>32162008</t>
  </si>
  <si>
    <t>COMERCIAL@BUSATOTRANSPORTES.COM.BR</t>
  </si>
  <si>
    <t>BUSATO.CONSTRUTORA@TERRA.COM.BR</t>
  </si>
  <si>
    <t>GENEZIO BUSATO</t>
  </si>
  <si>
    <t>998314777</t>
  </si>
  <si>
    <t>EDNO BUSATO</t>
  </si>
  <si>
    <t>999714900</t>
  </si>
  <si>
    <t>FERNANDO BUSATO</t>
  </si>
  <si>
    <t>996908044</t>
  </si>
  <si>
    <t>3600602-Distribuição de água por caminhões\3811400-Coleta de resíduos não perigosos\3812200-Coleta de resíduos perigosos\4311801-Demolição de edifícios e outras estruturas\4399104-Serviços de operação e fornecimento de equipamentos para transporte e elevação de cargas e pessoas para uso em obras\4921301-Transporte rodoviário coletivo de passageiros, com itinerário fixo, municipal\4923002-Serviço de transporte de passageiros - locação de automóveis com motorista\4930201-Transporte rodoviário de carga, exceto produtos perigosos e mudanças, municipal\5212500-Carga e descarga\7711000-Locação de automóveis sem condutor\7719599-Locação de outros meios de transporte não especificados anteriormente, sem condutor\7732201-Aluguel de máquinas e equipamentos para construção sem operador, exceto andaimes\7739099-Aluguel de outras máquinas e equipamentos comerciais e industriais não especificados anteriormente, sem operador\</t>
  </si>
  <si>
    <t>081.595.82-4</t>
  </si>
  <si>
    <t>13.892.216/0001-50</t>
  </si>
  <si>
    <t>TORRES EOLICAS DO NORDESTE S/A</t>
  </si>
  <si>
    <t>6/28/2011</t>
  </si>
  <si>
    <t>DO CONTORNO</t>
  </si>
  <si>
    <t>8269</t>
  </si>
  <si>
    <t>SALA 009</t>
  </si>
  <si>
    <t>GUTIERREZ</t>
  </si>
  <si>
    <t>BELO HORIZONTE</t>
  </si>
  <si>
    <t>30110059</t>
  </si>
  <si>
    <t>74</t>
  </si>
  <si>
    <t>999940869</t>
  </si>
  <si>
    <t>999712151</t>
  </si>
  <si>
    <t>999752038</t>
  </si>
  <si>
    <t>32906655</t>
  </si>
  <si>
    <t>ILDA.AZEVEDO@AGNET.COM.BR</t>
  </si>
  <si>
    <t>ANDRE DE RESENDE RODRIGUES</t>
  </si>
  <si>
    <t>51</t>
  </si>
  <si>
    <t>993246161</t>
  </si>
  <si>
    <t>JOSE ALBERTO TEIXEIRA DA SILVA</t>
  </si>
  <si>
    <t>12</t>
  </si>
  <si>
    <t>996668080</t>
  </si>
  <si>
    <t>ARTHUR ARAUJO DE SOUZA</t>
  </si>
  <si>
    <t>75</t>
  </si>
  <si>
    <t>982144171</t>
  </si>
  <si>
    <t>3319800-Manutenção e reparação de equipamentos e produtos não especificados anteriormente\4221902-Construção de estações e redes de distribuição de energia elétrica\5211799-Depósitos de mercadorias para terceiros, exceto armazéns gerais e guarda-móveis\7112000-Serviços de engenharia</t>
  </si>
  <si>
    <t>002161980.00-63</t>
  </si>
  <si>
    <t>49.316.524/0001-85</t>
  </si>
  <si>
    <t>ROSARIAL ALIMENTOS S/A</t>
  </si>
  <si>
    <t>ROSARIAL ALIMENTOS</t>
  </si>
  <si>
    <t>1013901</t>
  </si>
  <si>
    <t>Fabricação de produtos de carne</t>
  </si>
  <si>
    <t>4/22/1970</t>
  </si>
  <si>
    <t>ESTM IBIUNA RIO DE UNA</t>
  </si>
  <si>
    <t>777</t>
  </si>
  <si>
    <t>CXPST 16</t>
  </si>
  <si>
    <t>RIO DE UNA</t>
  </si>
  <si>
    <t>IBIUNA</t>
  </si>
  <si>
    <t>18150000</t>
  </si>
  <si>
    <t>15</t>
  </si>
  <si>
    <t>991255155</t>
  </si>
  <si>
    <t>991347427</t>
  </si>
  <si>
    <t>996051756</t>
  </si>
  <si>
    <t>32489791</t>
  </si>
  <si>
    <t>EVANDRO@ROSARIAL.COM.BR</t>
  </si>
  <si>
    <t>MARCO@ROSARIAL.COM.BR</t>
  </si>
  <si>
    <t>MARCO AURELIO ROSSIT SILVA</t>
  </si>
  <si>
    <t>991343638</t>
  </si>
  <si>
    <t>EVANDRO JESUS RIBEIRO</t>
  </si>
  <si>
    <t>991356968</t>
  </si>
  <si>
    <t>4930201-Transporte rodoviário de carga, exceto produtos perigosos e mudanças, municipal\4930202-Transporte rodoviário de carga, exceto produtos perigosos e mudanças, intermunicipal, interestadual e internacional</t>
  </si>
  <si>
    <t>345.002.200.110</t>
  </si>
  <si>
    <t>04.754.815/0001-17</t>
  </si>
  <si>
    <t>UP OFFSHORE APOIO MARITIMO LTDA</t>
  </si>
  <si>
    <t>MÉDIA</t>
  </si>
  <si>
    <t>9/12/2001</t>
  </si>
  <si>
    <t>DA GLORIA</t>
  </si>
  <si>
    <t>344</t>
  </si>
  <si>
    <t>SALA401 PARTE SALA402 PARTE SALA403 PARTE SALA404 PARTE</t>
  </si>
  <si>
    <t>GLORIA</t>
  </si>
  <si>
    <t>RIO DE JANEIRO</t>
  </si>
  <si>
    <t>20241180</t>
  </si>
  <si>
    <t>21</t>
  </si>
  <si>
    <t>997735764</t>
  </si>
  <si>
    <t>967135148</t>
  </si>
  <si>
    <t>971133230</t>
  </si>
  <si>
    <t>21124500</t>
  </si>
  <si>
    <t>MADAMES@SEACORMARINE.COM</t>
  </si>
  <si>
    <t>ASETHI@UPOFFSHORE.COM.BR</t>
  </si>
  <si>
    <t>TI@UPOFFSHORE.COM.BR</t>
  </si>
  <si>
    <t>OCEANPACT SERVICOS MARITIMOS S.A.</t>
  </si>
  <si>
    <t>30326700</t>
  </si>
  <si>
    <t>FLAVIO NOGUEIRA PINHEIRO DE ANDRADE</t>
  </si>
  <si>
    <t>85</t>
  </si>
  <si>
    <t>997672472</t>
  </si>
  <si>
    <t>EDUARDO DE TOLEDO</t>
  </si>
  <si>
    <t>999524185</t>
  </si>
  <si>
    <t>0910600-Atividades de apoio à extração de petróleo e gás natural\4619200-Representantes comerciais e agentes do comércio de mercadorias em geral não especializado\5030102-Navegação de apoio portuário\5030103-Serviço de rebocadores e empurradores\5099899-Outros transportes aquaviários não especificados anteriormente\5232000-Atividades de agenciamento marítimo\6463800-Outras sociedades de participação, exceto holdings\7719501-Locação de embarcações sem tripulação, exceto para finsrecreativos</t>
  </si>
  <si>
    <t>77.344.993</t>
  </si>
  <si>
    <t>00.450.577/0001-03</t>
  </si>
  <si>
    <t>CPC CONSTRUCOES E PROCESSOS CIENTIFICOS LTDA</t>
  </si>
  <si>
    <t>7/6/1976</t>
  </si>
  <si>
    <t>SAAN QUADRA 2</t>
  </si>
  <si>
    <t>310</t>
  </si>
  <si>
    <t>ST ABAS NORTE</t>
  </si>
  <si>
    <t>ZONA INDUSTRIAL</t>
  </si>
  <si>
    <t>70632200</t>
  </si>
  <si>
    <t>61</t>
  </si>
  <si>
    <t>993963184</t>
  </si>
  <si>
    <t>995568250</t>
  </si>
  <si>
    <t>992554754</t>
  </si>
  <si>
    <t>33610030</t>
  </si>
  <si>
    <t>ANTONIO@CPCESTRUTURAS.COM.BR</t>
  </si>
  <si>
    <t>ARMANDO@CPCESTRUTURAS.COM.BR</t>
  </si>
  <si>
    <t>CARLOS@CPCESTRUTURAS.COM.BR</t>
  </si>
  <si>
    <t>RENATO MAIA PUPO</t>
  </si>
  <si>
    <t>24</t>
  </si>
  <si>
    <t>998593982</t>
  </si>
  <si>
    <t>RMP CONSTRUCOES E ENGENHARIA LTDA</t>
  </si>
  <si>
    <t>35415643</t>
  </si>
  <si>
    <t>2513600-Fabricação de obras de caldeiraria pesada\2521700-Fabricação de tanques, reservatórios metálicos e caldeiras para aquecimento central\2539001-Serviços de usinagem, torneiria e solda\2539002-Serviços de tratamento e revestimento em metais\2599302-Serviço de corte e dobra de metais\4110700-Incorporação de empreendimentos imobiliários\4120400-Construção de edifícios\4292801-Montagem de estruturas metálicas\4292802-Obras de montagem industrial\4329199-Outras obras de instalações em construções não especificadas anteriormente\6462000-Holdings de instituições não financeiras\6810201-Compra e venda de imóveis próprios\6810202-Aluguel de imóveis próprios\7112000-Serviços de engenharia</t>
  </si>
  <si>
    <t>0731759600176</t>
  </si>
  <si>
    <t>01.855.226/0001-37</t>
  </si>
  <si>
    <t>SOLFACIL DISTRIBUIDORA INDUSTRIAL LTDA</t>
  </si>
  <si>
    <t>SOLFACIL DISTRIBUIDORA</t>
  </si>
  <si>
    <t>4/22/1997</t>
  </si>
  <si>
    <t>JOSE ALVES DOS SANTOS PASSOS</t>
  </si>
  <si>
    <t>3064</t>
  </si>
  <si>
    <t>O GALP</t>
  </si>
  <si>
    <t>SAO MARTINHO</t>
  </si>
  <si>
    <t>TUBARAO</t>
  </si>
  <si>
    <t>88708701</t>
  </si>
  <si>
    <t>48</t>
  </si>
  <si>
    <t>999913028</t>
  </si>
  <si>
    <t>998580002</t>
  </si>
  <si>
    <t>984050627</t>
  </si>
  <si>
    <t>36280258</t>
  </si>
  <si>
    <t>CONTABILIDADE@SOLARINOVE.COM.BR</t>
  </si>
  <si>
    <t>TURBOFERRO@TURBOFERRO.COM.BR</t>
  </si>
  <si>
    <t>BRAINER@TURBOFERRO.COM.BR</t>
  </si>
  <si>
    <t>FABIO AUGUSTO BREDDA CARRARA</t>
  </si>
  <si>
    <t>998009692</t>
  </si>
  <si>
    <t>GUILLAUME CHRISTIAN EMMANUEL TIRET</t>
  </si>
  <si>
    <t>944592654</t>
  </si>
  <si>
    <t>SOLFACIL PARTICIPACOES LTDA</t>
  </si>
  <si>
    <t>973987407</t>
  </si>
  <si>
    <t>2542000-Fabricação de artigos de serralheria, exceto esquadrias\2610800-Fabricação de componentes eletrônicos\2710401-Fabricação de geradores de corrente contínua e alternada, peças e acessórios\2731700-Fabricação de aparelhos e equipamentos para distribuição e controle de energia elétrica\3329599-Instalação de outros equipamentos não especificados anteriormente\4292801-Montagem de estruturas metálicas\4669999-Comércio atacadista de outras máquinas e equipamentos não especificados anteriormente, partes e peças\4689399-Comércio atacadista especializado em outros produtos intermediários não especificados anteriormente\4742300-Comércio varejista de material elétrico\4930201-Transporte rodoviário de carga, exceto produtos perigosos e mudanças, municipal\4930202-Transporte rodoviário de carga, exceto produtos perigosos e mudanças, intermunicipal, interestadual e internacional\5211701-Armazéns gerais - emissão de warrant\5250801-Comissaria de despachos\5250803-Agenciamento de cargas, exceto para o transporte marítimo\5250804-Organização logística do transporte de carga\8211300-Serviços combinados de escritório e apoio administrativo</t>
  </si>
  <si>
    <t>253422817</t>
  </si>
  <si>
    <t>05.104.067/0001-90</t>
  </si>
  <si>
    <t>GALAXIA MARITIMA S.A.</t>
  </si>
  <si>
    <t>GLX</t>
  </si>
  <si>
    <t>5/22/2002</t>
  </si>
  <si>
    <t>ACAPULCO</t>
  </si>
  <si>
    <t>CAVALEIROS</t>
  </si>
  <si>
    <t>MACAE</t>
  </si>
  <si>
    <t>27920150</t>
  </si>
  <si>
    <t>984917897</t>
  </si>
  <si>
    <t>971785237</t>
  </si>
  <si>
    <t>38048100</t>
  </si>
  <si>
    <t>J.ALEXANDRE@GALAXIAMARITIMA.COM.BR</t>
  </si>
  <si>
    <t>BIANCA.MARQUES@GALAXIAMARITIMA.COM.BR</t>
  </si>
  <si>
    <t>DAVID.ALVARENGA@GALAXIAMARITIMA.COM.BR</t>
  </si>
  <si>
    <t>GERSON WAGNER PINHEIRO DE MORAES</t>
  </si>
  <si>
    <t>996680563</t>
  </si>
  <si>
    <t>ANTONIO EDUARDO DE BARROS PINHEIRO</t>
  </si>
  <si>
    <t>THIAGO PALMIERI</t>
  </si>
  <si>
    <t>974453613</t>
  </si>
  <si>
    <t>5011401-Transporte marítimo de cabotagem - Carga\5012201-Transporte marítimo de longo curso - Carga\5030102-Navegação de apoio portuário\5232000-Atividades de agenciamento marítimo</t>
  </si>
  <si>
    <t>77.420.452</t>
  </si>
  <si>
    <t>58.673.450/0001-25</t>
  </si>
  <si>
    <t>TAIPASTUR TRANSPORTES TURISTICOS LTDA</t>
  </si>
  <si>
    <t>3/3/1988</t>
  </si>
  <si>
    <t>DEPUTADO CANTIDIO SAMPAIO</t>
  </si>
  <si>
    <t>6557</t>
  </si>
  <si>
    <t>VILA SOUZA</t>
  </si>
  <si>
    <t>2860001</t>
  </si>
  <si>
    <t>21523500</t>
  </si>
  <si>
    <t>993475924</t>
  </si>
  <si>
    <t>989284271</t>
  </si>
  <si>
    <t>989291421</t>
  </si>
  <si>
    <t>CONTABILIDADE@PICCOLOTUR.COM.BR</t>
  </si>
  <si>
    <t>FERNANDO RUAS PICCOLO</t>
  </si>
  <si>
    <t>999435015</t>
  </si>
  <si>
    <t>EVANIR ROBERTO PICCOLO</t>
  </si>
  <si>
    <t>995686556</t>
  </si>
  <si>
    <t>4923002-Serviço de transporte de passageiros - locação de automóveis com motorista\4929901-Transporte rodoviário coletivo de passageiros, sob regime de fretamento, municipal\4929902-Transporte rodoviário coletivo de passageiros, sob regime de fretamento, intermunicipal, interestadual e internacional\4929904-Organização de excursões em veículos rodoviários próprios, intermunicipal, interestadual e internacional\4929999-Outros transportes rodoviários de passageiros não especificados anteriormente\4930201-Transporte rodoviário de carga, exceto produtos perigosos e mudanças, municipal\4930203-Transporte rodoviário de produtos perigosos\6462000-Holdings de instituições não financeiras\6463800-Outras sociedades de participação, exceto holdings\7711000-Locação de automóveis sem condutor\7719599-Locação de outros meios de transporte não especificados anteriormente, sem condutor\7739099-Aluguel de outras máquinas e equipamentos comerciais e industriais não especificados anteriormente, sem operador\7820500-Locação de mão de obra temporária\</t>
  </si>
  <si>
    <t>112.326.797.110</t>
  </si>
  <si>
    <t>81.804.684/0001-86</t>
  </si>
  <si>
    <t>TRANSPORTES E ARMAZENAGEM ZILLI LTDA</t>
  </si>
  <si>
    <t>TRANSZILLI EXPRESSO E LOGISTICA</t>
  </si>
  <si>
    <t>4/17/1990</t>
  </si>
  <si>
    <t>BR-153</t>
  </si>
  <si>
    <t>SN</t>
  </si>
  <si>
    <t>QUADRAAREA LOTE 0002 SALA 1</t>
  </si>
  <si>
    <t>PARQUE INDUSTRIAL ARAGUAIA</t>
  </si>
  <si>
    <t>APARECIDA DE GOIANIA</t>
  </si>
  <si>
    <t>74981331</t>
  </si>
  <si>
    <t>62</t>
  </si>
  <si>
    <t>999943525</t>
  </si>
  <si>
    <t>30859900</t>
  </si>
  <si>
    <t>OSVALDO ANTONIO PAGNUNSSAT ZILLI</t>
  </si>
  <si>
    <t>984259022</t>
  </si>
  <si>
    <t>VALDIRENE MARIA BEVILAQUA ZILLI</t>
  </si>
  <si>
    <t>982386633</t>
  </si>
  <si>
    <t>4511101-Comércio a varejo de automóveis, camionetas e utilitários novos\4511102-Comércio a varejo de automóveis, camionetas e utilitários usados\4511103-Comércio por atacado de automóveis, camionetas e utilitários novos e usados\4511104-Comércio por atacado de caminhões novos e usados\4511105-Comércio por atacado de reboques e semireboques novos e usados\4511106-Comércio por atacado de ônibus e micro-ônibus novos e usados\4512902-Comércio sob consignação de veículos automotores\4661300-Comércio atacadista de máquinas, aparelhos e equipamentos para uso agropecuário, partes e peças\4930201-Transporte rodoviário de carga, exceto produtos perigosos e mudanças, municipal\5211701-Armazéns gerais - emissão de warrant\5211799-Depósitos de mercadorias para terceiros, exceto armazéns gerais e guarda-móveis\5212500-Carga e descarga\5223100-Estacionamento de veículos\5250804-Organização logística do transporte de carga</t>
  </si>
  <si>
    <t>252000137</t>
  </si>
  <si>
    <t>75.813.923/0001-61</t>
  </si>
  <si>
    <t>MAGNABOSCO COMERCIO E TRANSPORTES LTDA</t>
  </si>
  <si>
    <t>TRANS MAGNABOSCO</t>
  </si>
  <si>
    <t>3/10/1981</t>
  </si>
  <si>
    <t>SEVERIANO GUERREIRO</t>
  </si>
  <si>
    <t>1238</t>
  </si>
  <si>
    <t>R SEVERIANO GUER</t>
  </si>
  <si>
    <t>CIDADE JARDIM</t>
  </si>
  <si>
    <t>CATANDUVAS</t>
  </si>
  <si>
    <t>89670000</t>
  </si>
  <si>
    <t>49</t>
  </si>
  <si>
    <t>999600033</t>
  </si>
  <si>
    <t>991611039</t>
  </si>
  <si>
    <t>991013927</t>
  </si>
  <si>
    <t>35251194</t>
  </si>
  <si>
    <t>CONTASAPAGAR@TRANSMAGNABOSCO.COM.BR</t>
  </si>
  <si>
    <t>ALVARO@TRANSMAGNABOSCO.COM.BR</t>
  </si>
  <si>
    <t>ANA@TRANSMAGNABOSCO.COM.BR</t>
  </si>
  <si>
    <t>CLODOMAR LUIZ MAGNABOSCO</t>
  </si>
  <si>
    <t>999548274</t>
  </si>
  <si>
    <t>MAGNABOSCO PARTICIPACOES LTDA</t>
  </si>
  <si>
    <t>GUILHERME BORDIN MAGNABOSCO</t>
  </si>
  <si>
    <t>998251964</t>
  </si>
  <si>
    <t>2930101-Fabricação de cabines, carrocerias e reboques para caminhões\4520005-Serviços de lavagem, lubrificação e polimento de veículos automotores\4731800-Comércio varejista de combustíveis para veículos automotores\4929902-Transporte rodoviário coletivo de passageiros, sob regime de fretamento, intermunicipal, interestadual e internacional\4930201-Transporte rodoviário de carga, exceto produtos perigosos e mudanças, municipal\4930203-Transporte rodoviário de produtos perigosos\5212500-Carga e descarga\</t>
  </si>
  <si>
    <t>250807190</t>
  </si>
  <si>
    <t>03.052.564/0001-66</t>
  </si>
  <si>
    <t>TRANS KOTHE TRANSPORTES RODOVIARIOS S/A</t>
  </si>
  <si>
    <t>KOTHE TRANSPORTES E LOGISTICA</t>
  </si>
  <si>
    <t>3/23/1999</t>
  </si>
  <si>
    <t>JOSE CAPRETZ</t>
  </si>
  <si>
    <t>320</t>
  </si>
  <si>
    <t>LOTEAMENTO PARQUE INDUSTRIAL</t>
  </si>
  <si>
    <t>JUNDIAI</t>
  </si>
  <si>
    <t>13213095</t>
  </si>
  <si>
    <t>94</t>
  </si>
  <si>
    <t>981691441</t>
  </si>
  <si>
    <t>98</t>
  </si>
  <si>
    <t>981197210</t>
  </si>
  <si>
    <t>981694004</t>
  </si>
  <si>
    <t>45252629</t>
  </si>
  <si>
    <t>ADILSONTONIELO@KOTHE.COM.BR</t>
  </si>
  <si>
    <t>ADIR@KOTHE.COM.BR</t>
  </si>
  <si>
    <t>ADRIANO.GRANDO@KOTHE.COM.BR</t>
  </si>
  <si>
    <t>ARLETE KOTHE</t>
  </si>
  <si>
    <t>63</t>
  </si>
  <si>
    <t>992380170</t>
  </si>
  <si>
    <t>ADIR PEDRO KOTHE</t>
  </si>
  <si>
    <t>992368300</t>
  </si>
  <si>
    <t>ADEMIR KOTHE</t>
  </si>
  <si>
    <t>994612991</t>
  </si>
  <si>
    <t>4930201-Transporte rodoviário de carga, exceto produtos perigosos e mudanças, municipal\4930203-Transporte rodoviário de produtos perigosos\5211799-Depósitos de mercadorias para terceiros, exceto armazéns gerais e guarda-móveis\5250804-Organização logística do transporte de carga\6463800-Outras sociedades de participação, exceto holdings\</t>
  </si>
  <si>
    <t>407.578.172.117</t>
  </si>
  <si>
    <t>75.862.821/0001-36</t>
  </si>
  <si>
    <t>RODALOG SOLUCOES EM LOGISTICA E TRANSPORTE LTDA</t>
  </si>
  <si>
    <t>RODALOG</t>
  </si>
  <si>
    <t>3/24/1982</t>
  </si>
  <si>
    <t>ARY SCHOSSLAND</t>
  </si>
  <si>
    <t>ANITA GARIBALDI</t>
  </si>
  <si>
    <t>JOINVILLE</t>
  </si>
  <si>
    <t>89202066</t>
  </si>
  <si>
    <t>991880471</t>
  </si>
  <si>
    <t>992120267</t>
  </si>
  <si>
    <t>992774566</t>
  </si>
  <si>
    <t>32786750</t>
  </si>
  <si>
    <t>TRIBUTARIO@RODALOG.COM.BR</t>
  </si>
  <si>
    <t>AVILA@RODALOG.COM.BR</t>
  </si>
  <si>
    <t>DEISI.CATARINA@RODALOG.COM.BR</t>
  </si>
  <si>
    <t>AUSTERITA PARTICIPACOES LTDA</t>
  </si>
  <si>
    <t>999892622</t>
  </si>
  <si>
    <t>STEFAN RODRIGO SOARES E BOGO</t>
  </si>
  <si>
    <t>999717870</t>
  </si>
  <si>
    <t>4930201-Transporte rodoviário de carga, exceto produtos perigosos e mudanças, municipal\5211701-Armazéns gerais - emissão de warrant\5211799-Depósitos de mercadorias para terceiros, exceto armazéns gerais e guarda-móveis\5212500-Carga e descarga\5250803-Agenciamento de cargas, exceto para o transporte marítimo\5250804-Organização logística do transporte de carga\5320202-Serviços de entrega rápida\6462000-Holdings de instituições não financeiras\7711000-Locação de automóveis sem condutor\7820500-Locação de mão de obra temporária\7911200-Agências de viagens\8211300-Serviços combinados de escritório e apoio administrativo</t>
  </si>
  <si>
    <t>251798402</t>
  </si>
  <si>
    <t>07.520.001/0001-06</t>
  </si>
  <si>
    <t>CARRER ALIMENTOS LTDA EM RECUPERACAO JUDICIAL</t>
  </si>
  <si>
    <t>7/19/2005</t>
  </si>
  <si>
    <t>RSC 453</t>
  </si>
  <si>
    <t>KM 77 DO LADO DA C DE VINHOS</t>
  </si>
  <si>
    <t>BOA VISTA DO SUL</t>
  </si>
  <si>
    <t>95727000</t>
  </si>
  <si>
    <t>980149662</t>
  </si>
  <si>
    <t>54</t>
  </si>
  <si>
    <t>999215082</t>
  </si>
  <si>
    <t>34355426</t>
  </si>
  <si>
    <t>KATIANE@AVICOLACARRER.COM.BR</t>
  </si>
  <si>
    <t>HOLDINVEST FOODS S.A. EM RECUPERACAO JUDICIAL</t>
  </si>
  <si>
    <t>30567600</t>
  </si>
  <si>
    <t>GERALDO CARRER</t>
  </si>
  <si>
    <t>999943760</t>
  </si>
  <si>
    <t>BRUNO KUMMEL CARRER</t>
  </si>
  <si>
    <t>0155502-Produção de pintos de um dia\0155504-Criação de aves, exceto galináceos\0155505-Produção de ovos\1012101-Abate de aves\1052000-Fabricação de laticínios\1099699-Fabricação de outros produtos alimentícios não especificados anteriormente\4633802-Comércio atacadista de aves vivas e ovos\4634601-Comércio atacadista de carnes bovinas e suínas e derivados\4634602-Comércio atacadista de aves abatidas e derivados\4729699-Comércio varejista de produtos alimentícios em geral ou especializado em produtos alimentícios não especificados anteriormente\4930201-Transporte rodoviário de carga, exceto produtos perigosos e mudanças, municipal\4930202-Transporte rodoviário de carga, exceto produtos perigosos e mudanças, intermunicipal, interestadual e internacional\5211701-Armazéns gerais - emissão de warrant\6810202-Aluguel de imóveis próprios</t>
  </si>
  <si>
    <t>037/0039912</t>
  </si>
  <si>
    <t>22.067.862/0001-74</t>
  </si>
  <si>
    <t>CESA S.A.</t>
  </si>
  <si>
    <t>CESA LOGISTICA</t>
  </si>
  <si>
    <t>10/14/1970</t>
  </si>
  <si>
    <t>3542</t>
  </si>
  <si>
    <t>SALA 503</t>
  </si>
  <si>
    <t>SANTA EFIGENIA</t>
  </si>
  <si>
    <t>30110018</t>
  </si>
  <si>
    <t>971031917</t>
  </si>
  <si>
    <t>997946719</t>
  </si>
  <si>
    <t>995203522</t>
  </si>
  <si>
    <t>36633500</t>
  </si>
  <si>
    <t>ELDER.CABRAL@CESA.COM.BR</t>
  </si>
  <si>
    <t>CESAFISCAL@CESA.COM.BR</t>
  </si>
  <si>
    <t>GUSTAVO DIAS</t>
  </si>
  <si>
    <t>999796633</t>
  </si>
  <si>
    <t>MARCELO DIAS</t>
  </si>
  <si>
    <t>981159785</t>
  </si>
  <si>
    <t>4930201-Transporte rodoviário de carga, exceto produtos perigosos e mudanças, municipal\7719599-Locação de outros meios de transporte não especificados anteriormente, sem condutor</t>
  </si>
  <si>
    <t>186030422.00-62</t>
  </si>
  <si>
    <t>78.807.427/0001-93</t>
  </si>
  <si>
    <t>COSTA TEIXEIRA TRANSPORTES LTDA</t>
  </si>
  <si>
    <t>7/26/1985</t>
  </si>
  <si>
    <t>BR-376</t>
  </si>
  <si>
    <t>KM499</t>
  </si>
  <si>
    <t>COLONIA DONA LUIZA</t>
  </si>
  <si>
    <t>PONTA GROSSA</t>
  </si>
  <si>
    <t>84043450</t>
  </si>
  <si>
    <t>998740738</t>
  </si>
  <si>
    <t>40097100</t>
  </si>
  <si>
    <t>NOTAFISCAL@COSTATEIXEIRA.COM.BR</t>
  </si>
  <si>
    <t>CLAUDIO.TEIXEIRA@COSTATEIXEIRA.COM.BR</t>
  </si>
  <si>
    <t>CLAUDIO@COSTATEIXEIRA.COM.BR</t>
  </si>
  <si>
    <t>CLAUDIO JOSE COSTA TEIXEIRA</t>
  </si>
  <si>
    <t>999142042</t>
  </si>
  <si>
    <t>GILBERTO LEANDRO COSTA TEIXEIRA</t>
  </si>
  <si>
    <t>996195199</t>
  </si>
  <si>
    <t>GILMAR TADEU COSTA TEIXEIRA</t>
  </si>
  <si>
    <t>981211052</t>
  </si>
  <si>
    <t>4930201-Transporte rodoviário de carga, exceto produtos perigosos e mudanças, municipal\4930203-Transporte rodoviário de produtos perigosos\5211701-Armazéns gerais - emissão de warrant\5212500-Carga e descarga\5229099-Outras atividades auxiliares dos transportes terrestres não especificadas anteriormente\</t>
  </si>
  <si>
    <t>20110644-37</t>
  </si>
  <si>
    <t>16.127.441/0001-99</t>
  </si>
  <si>
    <t>AVIGRO AVICOLA AGROINDUSTRIAL LTDA</t>
  </si>
  <si>
    <t>AVIGRO</t>
  </si>
  <si>
    <t>6/4/1987</t>
  </si>
  <si>
    <t>VILA DOS COQUEIROS</t>
  </si>
  <si>
    <t>520</t>
  </si>
  <si>
    <t>CONCEICAO DA FEIRA</t>
  </si>
  <si>
    <t>44320000</t>
  </si>
  <si>
    <t>998015976</t>
  </si>
  <si>
    <t>999416201</t>
  </si>
  <si>
    <t>998785571</t>
  </si>
  <si>
    <t>32443500</t>
  </si>
  <si>
    <t>GERCONTROLADORIA@AVIGRO.COM.BR</t>
  </si>
  <si>
    <t>MARCOS@AVIGRO.COM.BR</t>
  </si>
  <si>
    <t>CLAUDIO@AVIGRO.COM.BR</t>
  </si>
  <si>
    <t>MARIA ANTONIA MASCARENHAS ALVES</t>
  </si>
  <si>
    <t>999942024</t>
  </si>
  <si>
    <t>OLINTO PEREIRA ALVES</t>
  </si>
  <si>
    <t>981654048</t>
  </si>
  <si>
    <t>LOURIVAL CHAGAS DO NASCIMENTO</t>
  </si>
  <si>
    <t>998038656</t>
  </si>
  <si>
    <t>0155501-Criação de frangos para corte\0155502-Produção de pintos de um dia\1066000-Fabricação de alimentos para animais\4634601-Comércio atacadista de carnes bovinas e suínas e derivados\4634602-Comércio atacadista de aves abatidas e derivados\4712100-Comércio varejista de mercadorias em geral, com predominância de produtos alimentícios - minimercados, mercearias e armazéns\4722901-Comércio varejista de carnes - açougues\4729602-Comércio varejista de mercadorias em lojas de conveniência\4729699-Comércio varejista de produtos alimentícios em geral ou especializado em produtos alimentícios não especificados anteriormente\4930202-Transporte rodoviário de carga, exceto produtos perigosos e mudanças, intermunicipal, interestadual e internacional</t>
  </si>
  <si>
    <t>026.152.167</t>
  </si>
  <si>
    <t>60.678.471/0001-85</t>
  </si>
  <si>
    <t>LEPE INDUSTRIA E COMERCIO LTDA</t>
  </si>
  <si>
    <t>10/6/1966</t>
  </si>
  <si>
    <t>LUIS RODRIGUES DE FREITAS</t>
  </si>
  <si>
    <t>597</t>
  </si>
  <si>
    <t>VILA ROSA MINELIA</t>
  </si>
  <si>
    <t>7034050</t>
  </si>
  <si>
    <t>964757070</t>
  </si>
  <si>
    <t>974180268</t>
  </si>
  <si>
    <t>942952223</t>
  </si>
  <si>
    <t>24757091</t>
  </si>
  <si>
    <t>CONTABIL@LEPE.COM.BR</t>
  </si>
  <si>
    <t>COMPRAS@LEPE.COM.BR</t>
  </si>
  <si>
    <t>ACK@LEPE.COM.BR</t>
  </si>
  <si>
    <t>ANTONIO CARLOS KOCH</t>
  </si>
  <si>
    <t>969764256</t>
  </si>
  <si>
    <t>AUGUSTO KOCH JUNIOR</t>
  </si>
  <si>
    <t>978156406</t>
  </si>
  <si>
    <t>LUIZ CARLOS KOCH</t>
  </si>
  <si>
    <t>999826475</t>
  </si>
  <si>
    <t>336.066.110.115</t>
  </si>
  <si>
    <t>03.875.931/0001-21</t>
  </si>
  <si>
    <t>NEPOMUCENO CARGAS LTDA.</t>
  </si>
  <si>
    <t>NEPOMUCENO LOGISTICA</t>
  </si>
  <si>
    <t>6/9/2000</t>
  </si>
  <si>
    <t>DOM GABRIEL PAULINO BUENO COUTO</t>
  </si>
  <si>
    <t>500</t>
  </si>
  <si>
    <t>SALA 4 PREDIO A</t>
  </si>
  <si>
    <t>MEDEIROS</t>
  </si>
  <si>
    <t>13212240</t>
  </si>
  <si>
    <t>35</t>
  </si>
  <si>
    <t>36949837</t>
  </si>
  <si>
    <t>NEPOMUCENOCARGASLTDA@GMAIL.COM</t>
  </si>
  <si>
    <t>CPEDROSO@EXPRESSONEPOMUCENO.COM.BR</t>
  </si>
  <si>
    <t>ADRIANOCARDOSO@EXPRESSONEPOMUCENO.COM.BR</t>
  </si>
  <si>
    <t>EXPRESSO NEPOMUCENO S/A</t>
  </si>
  <si>
    <t>998164753</t>
  </si>
  <si>
    <t>AGNALDO DE SOUZA FILHO</t>
  </si>
  <si>
    <t>988577625</t>
  </si>
  <si>
    <t>AGNESIO CARVALHO DE SOUZA NETO</t>
  </si>
  <si>
    <t>988328195</t>
  </si>
  <si>
    <t>4520001-Serviços de manutenção e reparação mecânica de veículos automotores\4930201-Transporte rodoviário de carga, exceto produtos perigosos e mudanças, municipal\4930203-Transporte rodoviário de produtos perigosos\5211799-Depósitos de mercadorias para terceiros, exceto armazéns gerais e guarda-móveis\5212500-Carga e descarga\5250804-Organização logística do transporte de carga\5320202-Serviços de entrega rápida\6810202-Aluguel de imóveis próprios\7711000-Locação de automóveis sem condutor\7719599-Locação de outros meios de transporte não especificados anteriormente, sem condutor\7739099-Aluguel de outras máquinas e equipamentos comerciais e industriais não especificados anteriormente, sem operador\7820500-Locação de mão de obra temporária</t>
  </si>
  <si>
    <t>407.744.676.118</t>
  </si>
  <si>
    <t>06.292.402/0001-93</t>
  </si>
  <si>
    <t>BRAMETAL MG METALURGICA LTDA</t>
  </si>
  <si>
    <t>BRAMETAL MG</t>
  </si>
  <si>
    <t>6/4/2004</t>
  </si>
  <si>
    <t>DO CONTORNO 2905</t>
  </si>
  <si>
    <t>2905</t>
  </si>
  <si>
    <t>ANDAR 4</t>
  </si>
  <si>
    <t>30110915</t>
  </si>
  <si>
    <t>971263708</t>
  </si>
  <si>
    <t>999637354</t>
  </si>
  <si>
    <t>995190762</t>
  </si>
  <si>
    <t>21039051</t>
  </si>
  <si>
    <t>CONTROLADORIA@BRAMETAL.COM.BR</t>
  </si>
  <si>
    <t>CINTIA@BRAMETAL.COM.BR</t>
  </si>
  <si>
    <t>ADRIANA.SMARSARO@BRAMETAL.COM.BR</t>
  </si>
  <si>
    <t>HOLLMORE PARTICIPACOES E INVESTIMENTOS LTDA</t>
  </si>
  <si>
    <t>RICARDO MINATTO BRANDAO</t>
  </si>
  <si>
    <t>991716600</t>
  </si>
  <si>
    <t>ALEXANDRE QUEIROZ SCHMIDT</t>
  </si>
  <si>
    <t>988004321</t>
  </si>
  <si>
    <t>2330302-Fabricação de artefatos de cimento para uso na construção\2539001-Serviços de usinagem, torneiria e solda\2539002-Serviços de tratamento e revestimento em metais\4110700-Incorporação de empreendimentos imobiliários\4292801-Montagem de estruturas metálicas\4292802-Obras de montagem industrial\4689399-Comércio atacadista especializado em outros produtos intermediários não especificados anteriormente\4744005-Comércio varejista de materiais de construção não especificados anteriormente\4744099-Comércio varejista de materiais de construção em geral\7112000-Serviços de engenharia</t>
  </si>
  <si>
    <t>567295995.00-09</t>
  </si>
  <si>
    <t>04.662.776/0001-28</t>
  </si>
  <si>
    <t>CAJURU INDUSTRIA E COMERCIO DE ALIMENTOS LTDA EM RECUPERACAO JUDICIAL</t>
  </si>
  <si>
    <t>9/14/2001</t>
  </si>
  <si>
    <t>JONAS JACOB SANTANA</t>
  </si>
  <si>
    <t>16 3667 9000 PRQ INDUS</t>
  </si>
  <si>
    <t>DIST INDUSTRIAL I</t>
  </si>
  <si>
    <t>CAJURU</t>
  </si>
  <si>
    <t>14240000</t>
  </si>
  <si>
    <t>16</t>
  </si>
  <si>
    <t>991323616</t>
  </si>
  <si>
    <t>993208861</t>
  </si>
  <si>
    <t>991425829</t>
  </si>
  <si>
    <t>36679000</t>
  </si>
  <si>
    <t>GOLDMEAT@GOLDMEAT.COM.BR</t>
  </si>
  <si>
    <t>JOSE PAULO CANDIDO JUNIOR</t>
  </si>
  <si>
    <t>991160012</t>
  </si>
  <si>
    <t>SILVIA MARIA LOPES DA SILVA CARDINALI CANDIDO</t>
  </si>
  <si>
    <t>997941231</t>
  </si>
  <si>
    <t>4619200-Representantes comerciais e agentes do comércio de mercadorias em geral não especializado\4631100-Comércio atacadista de leite e laticínios\4634601-Comércio atacadista de carnes bovinas e suínas e derivados\4634602-Comércio atacadista de aves abatidas e derivados\4634603-Comércio atacadista de pescados e frutos do mar\4637199-Comércio atacadista especializado em outros produtos alimentícios não especificados anteriormente\4642702-Comércio atacadista de roupas e acessórios para uso profissional e de segurança do trabalho\4721103-Comércio varejista de laticínios e frios</t>
  </si>
  <si>
    <t>243.065.620.112</t>
  </si>
  <si>
    <t>11.270.328/0001-44</t>
  </si>
  <si>
    <t>BOVMEAT PROCESSADORA DE CARNES E DERIVADOS LTDA.</t>
  </si>
  <si>
    <t>BOVMEAT CARNES</t>
  </si>
  <si>
    <t>7/31/2009</t>
  </si>
  <si>
    <t>PRACA BERNARDINO DE CAMPOS 184</t>
  </si>
  <si>
    <t>GALPAOINDUSTRIAL</t>
  </si>
  <si>
    <t>ITAPIRA</t>
  </si>
  <si>
    <t>13970970</t>
  </si>
  <si>
    <t>992079256</t>
  </si>
  <si>
    <t>989788982</t>
  </si>
  <si>
    <t>992945469</t>
  </si>
  <si>
    <t>38632354</t>
  </si>
  <si>
    <t>ALESSANDROALMEIDA@BOVMEAT.COM.BR</t>
  </si>
  <si>
    <t>ALEX@BOVMEAT.COM.BR</t>
  </si>
  <si>
    <t>DELSON@BOVMEAT.COM.BR</t>
  </si>
  <si>
    <t>ALESSANDRO SAMPAIO DE ALMEIDA</t>
  </si>
  <si>
    <t>992945509</t>
  </si>
  <si>
    <t>PATRICIA PEREIRA SOARES DE ALMEIDA</t>
  </si>
  <si>
    <t>4617600-Representantes comerciais e agentes do comércio de produtos alimentícios, bebidas e fumo\4631100-Comércio atacadista de leite e laticínios\4637199-Comércio atacadista especializado em outros produtos alimentícios não especificados anteriormente\4691500-Comércio atacadista de mercadorias em geral, com predominância de produtos alimentícios</t>
  </si>
  <si>
    <t>374.136.362.111</t>
  </si>
  <si>
    <t>36.492.502/0001-24</t>
  </si>
  <si>
    <t>CHARQUE 500 INDUSTRIA E COMERCIO LTDA</t>
  </si>
  <si>
    <t>4/25/1991</t>
  </si>
  <si>
    <t>JOAQUIM EUGENIO SANTOS</t>
  </si>
  <si>
    <t>MARICA</t>
  </si>
  <si>
    <t>24901040</t>
  </si>
  <si>
    <t>990118593</t>
  </si>
  <si>
    <t>983680122</t>
  </si>
  <si>
    <t>983680175</t>
  </si>
  <si>
    <t>26372326</t>
  </si>
  <si>
    <t>CLEIDI@CHARQUE500.COM.BR</t>
  </si>
  <si>
    <t>CARLOS@CHARQUE500.COM.BR</t>
  </si>
  <si>
    <t>CATIA@CHARQUE500.COM.BR</t>
  </si>
  <si>
    <t>WALTER ROBERTO COLAVITTI</t>
  </si>
  <si>
    <t>988302326</t>
  </si>
  <si>
    <t>CLEIDI DA SILVA ABREU</t>
  </si>
  <si>
    <t>979258911</t>
  </si>
  <si>
    <t>4639702-Comércio atacadista de produtos alimentícios em geral, com atividade de fracionamento e acondicionamento associada\4721103-Comércio varejista de laticínios e frios\4722901-Comércio varejista de carnes - açougues\4930202-Transporte rodoviário de carga, exceto produtos perigosos e mudanças, intermunicipal, interestadual e internacional\8292000-Envasamento e empacotamento sob contrato\</t>
  </si>
  <si>
    <t>84.000.418</t>
  </si>
  <si>
    <t>03.836.990/0001-90</t>
  </si>
  <si>
    <t>CPA ARMAZENS GERAIS LTDA</t>
  </si>
  <si>
    <t>5/25/2000</t>
  </si>
  <si>
    <t>CASTELO BRANCO</t>
  </si>
  <si>
    <t>800</t>
  </si>
  <si>
    <t>SALA02LOTE199 A</t>
  </si>
  <si>
    <t>VERA CRUZ</t>
  </si>
  <si>
    <t>SARANDI</t>
  </si>
  <si>
    <t>87111760</t>
  </si>
  <si>
    <t>44</t>
  </si>
  <si>
    <t>991621621</t>
  </si>
  <si>
    <t>991341846</t>
  </si>
  <si>
    <t>991169613</t>
  </si>
  <si>
    <t>32888001</t>
  </si>
  <si>
    <t>GILBERTO@CPATRADING.COM.BR</t>
  </si>
  <si>
    <t>PAULO MENEGUETTI</t>
  </si>
  <si>
    <t>999821982</t>
  </si>
  <si>
    <t>CPA HOLDING PARTICIPACOES S.A.</t>
  </si>
  <si>
    <t>32888000</t>
  </si>
  <si>
    <t>AYRTON CARLOS BERG JUNIOR</t>
  </si>
  <si>
    <t>999645015</t>
  </si>
  <si>
    <t>3315500-Manutenção e reparação de veículos ferroviários\4619200-Representantes comerciais e agentes do comércio de mercadorias em geral não especializado\5231102-Atividades do Operador Portuário\5250802-Atividades de despachantes aduaneiros\5250804-Organização logística do transporte de carga\8211300-Serviços combinados de escritório e apoio administrativo</t>
  </si>
  <si>
    <t>60.746.518/0001-09</t>
  </si>
  <si>
    <t>TRANSPORTADORA TRANSLECCHI LTDA</t>
  </si>
  <si>
    <t>TRANSLECCHI</t>
  </si>
  <si>
    <t>6/7/1989</t>
  </si>
  <si>
    <t>PAULISTA</t>
  </si>
  <si>
    <t>1636</t>
  </si>
  <si>
    <t>CONJ8 PAV 13</t>
  </si>
  <si>
    <t>BELA VISTA</t>
  </si>
  <si>
    <t>01310200</t>
  </si>
  <si>
    <t>999771076</t>
  </si>
  <si>
    <t>47904790</t>
  </si>
  <si>
    <t>CLAUDENIR.MENDES@TRANSLECCHI.COM.BR</t>
  </si>
  <si>
    <t>WEBMASTER@TRANSLECCHI.COM.BR</t>
  </si>
  <si>
    <t>WAGNER.DIAS@TRANSLECCHI.COM.BR</t>
  </si>
  <si>
    <t>ROBERTO GIUSEPPE MONGUZZI</t>
  </si>
  <si>
    <t>ALDO ERNESTO MONGUZZI</t>
  </si>
  <si>
    <t>995027871</t>
  </si>
  <si>
    <t>5212500-Carga e descarga\5250804-Organização logística do transporte de carga\7739099-Aluguel de outras máquinas e equipamentos comerciais e industriais não especificados anteriormente, sem operador\</t>
  </si>
  <si>
    <t>140.798.820.111</t>
  </si>
  <si>
    <t>08.247.312/0001-06</t>
  </si>
  <si>
    <t>TECER - TERMINAIS PORTUARIOS CEARA LTDA</t>
  </si>
  <si>
    <t>7/26/2006</t>
  </si>
  <si>
    <t>S LUIS</t>
  </si>
  <si>
    <t>671</t>
  </si>
  <si>
    <t>PECEM</t>
  </si>
  <si>
    <t>62674000</t>
  </si>
  <si>
    <t>981744236</t>
  </si>
  <si>
    <t>981243183</t>
  </si>
  <si>
    <t>981769949</t>
  </si>
  <si>
    <t>33151415</t>
  </si>
  <si>
    <t>CONTABILIDADE@TECERTERMINAIS.COM.BR</t>
  </si>
  <si>
    <t>BERTRAND ALPHONSE BORIS NETO</t>
  </si>
  <si>
    <t>999812988</t>
  </si>
  <si>
    <t>TERMACO PARTICIPACOES S.A.</t>
  </si>
  <si>
    <t>33885600</t>
  </si>
  <si>
    <t>TOME PARTICIPACOES LTDA (EM RECUPERACAO JUDICIAL)</t>
  </si>
  <si>
    <t>43556254</t>
  </si>
  <si>
    <t>4520001-Serviços de manutenção e reparação mecânica de veículos automotores\4520002-Serviços de lanternagem ou funilaria e pintura de veículos automotores\4520005-Serviços de lavagem, lubrificação e polimento de veículos automotores\4520006-Serviços de borracharia para veículos automotores\5212500-Carga e descarga\5231101-Administração da infraestrutura portuária\5250804-Organização logística do transporte de carga\7739099-Aluguel de outras máquinas e equipamentos comerciais e industriais não especificados anteriormente, sem operador</t>
  </si>
  <si>
    <t>06.199520-7</t>
  </si>
  <si>
    <t>06.106.950/0001-81</t>
  </si>
  <si>
    <t>YUSEN LOGISTICS DO BRASIL LTDA.</t>
  </si>
  <si>
    <t>YUSEN LOGISTICS DO BRASIL</t>
  </si>
  <si>
    <t>12/16/2003</t>
  </si>
  <si>
    <t>ANHANGUERA KM 15</t>
  </si>
  <si>
    <t>GALPAO1 PARTE E 2</t>
  </si>
  <si>
    <t>VILA JAGUARA</t>
  </si>
  <si>
    <t>5113902</t>
  </si>
  <si>
    <t>972679882</t>
  </si>
  <si>
    <t>974911741</t>
  </si>
  <si>
    <t>934720135</t>
  </si>
  <si>
    <t>39089700</t>
  </si>
  <si>
    <t>YLBR.FISCAL@BR.YUSEN-LOGISTICS.COM</t>
  </si>
  <si>
    <t>ADRIANA.ROVIGATTI@BR.YUSEN-LOGISTICS.COM</t>
  </si>
  <si>
    <t>MARGARIDA.PLACIDIO@BR.YUSEN-LOGISTICS.COM</t>
  </si>
  <si>
    <t>YUSEN  LOGISTICS CO., LTDA</t>
  </si>
  <si>
    <t>EDSON TADAO CHIKU</t>
  </si>
  <si>
    <t>964458842</t>
  </si>
  <si>
    <t>4930202-Transporte rodoviário de carga, exceto produtos perigosos e mudanças, intermunicipal, interestadual e internacional\5232000-Atividades de agenciamento marítimo\5250802-Atividades de despachantes aduaneiros\5250803-Agenciamento de cargas, exceto para o transporte marítimo\5250804-Organização logística do transporte de carga\5250805-Operador de transporte multimodal - OTM\9512600-Reparação e manutenção de equipamentos de comunicação\</t>
  </si>
  <si>
    <t>116.765.606.111</t>
  </si>
  <si>
    <t>75.958.926/0001-93</t>
  </si>
  <si>
    <t>GHELERE TRANSPORTES LTDA</t>
  </si>
  <si>
    <t>GHELERE TRANSPORTES</t>
  </si>
  <si>
    <t>11/30/1981</t>
  </si>
  <si>
    <t>RURAL</t>
  </si>
  <si>
    <t>KM 517</t>
  </si>
  <si>
    <t>AREA RURAL DE CASCAVEL</t>
  </si>
  <si>
    <t>CASCAVEL</t>
  </si>
  <si>
    <t>85820899</t>
  </si>
  <si>
    <t>45</t>
  </si>
  <si>
    <t>30992000</t>
  </si>
  <si>
    <t>NFE@GHELERE.COM.BR</t>
  </si>
  <si>
    <t>EDUARDO@GHELERE.COM.BR</t>
  </si>
  <si>
    <t>JACQUELINE@GHELERE.COM.BR</t>
  </si>
  <si>
    <t>MARILIANA LUCIA GHELERE</t>
  </si>
  <si>
    <t>999461177</t>
  </si>
  <si>
    <t>VILMAR ATILIO GHELERE</t>
  </si>
  <si>
    <t>13</t>
  </si>
  <si>
    <t>997813781</t>
  </si>
  <si>
    <t>EAGH ADMINISTRACAO DE BENS E PARTICIPACOES SOCIETARIAS LTDA</t>
  </si>
  <si>
    <t>991350169</t>
  </si>
  <si>
    <t>2941700-Fabricação de peças e acessórios para o sistema motor de veículos automotores\4511102-Comércio a varejo de automóveis, camionetas e utilitários usados\4520001-Serviços de manutenção e reparação mecânica de veículos automotores\4530703-Comércio a varejo de peças e acessórios novos para veículos automotores\4669999-Comércio atacadista de outras máquinas e equipamentos não especificados anteriormente, partes e peças\4930201-Transporte rodoviário de carga, exceto produtos perigosos e mudanças, municipal\4930203-Transporte rodoviário de produtos perigosos\5211701-Armazéns gerais - emissão de warrant\5211799-Depósitos de mercadorias para terceiros, exceto armazéns gerais e guarda-móveis\5212500-Carga e descarga\5229099-Outras atividades auxiliares dos transportes terrestres não especificadas anteriormente\5250803-Agenciamento de cargas, exceto para o transporte marítimo\5250804-Organização logística do transporte de carga\5250805-Operador de transporte multimodal - OTM\6311900-Tratamento de dados, provedores de serviços de aplicação e serviços de hospedagem na Internet\7719599-Locação de outros meios de transporte não especificados anteriormente, sem condutor</t>
  </si>
  <si>
    <t>42002431-24</t>
  </si>
  <si>
    <t>26.336.941/0001-94</t>
  </si>
  <si>
    <t>MVC TRANSPORTE E LOGISTICA S.A</t>
  </si>
  <si>
    <t>1/9/1990</t>
  </si>
  <si>
    <t>AMALIA RODRIGUES DE JESUS</t>
  </si>
  <si>
    <t>137</t>
  </si>
  <si>
    <t>C</t>
  </si>
  <si>
    <t>FELIPE CLAUDIO DE S</t>
  </si>
  <si>
    <t>PEDRO LEOPOLDO</t>
  </si>
  <si>
    <t>33600000</t>
  </si>
  <si>
    <t>971024813</t>
  </si>
  <si>
    <t>971024941</t>
  </si>
  <si>
    <t>23421000</t>
  </si>
  <si>
    <t>MVCFISCAL@MVCLOGISTICA.COM.BR</t>
  </si>
  <si>
    <t>BARBARA.RODRIGUES@MVCLOGISTICA.COM.BR</t>
  </si>
  <si>
    <t>FREDERICO.RIBEIRO@MVCLOGISTICA.COM.BR</t>
  </si>
  <si>
    <t>ALMIR PUJONI</t>
  </si>
  <si>
    <t>995886164</t>
  </si>
  <si>
    <t>FREDERICO DIAS RIBEIRO</t>
  </si>
  <si>
    <t>991334628</t>
  </si>
  <si>
    <t>4930201-Transporte rodoviário de carga, exceto produtos perigosos e mudanças, municipal\5211799-Depósitos de mercadorias para terceiros, exceto armazéns gerais e guarda-móveis\5212500-Carga e descarga\7719599-Locação de outros meios de transporte não especificados anteriormente, sem condutor</t>
  </si>
  <si>
    <t>062618321.00-98</t>
  </si>
  <si>
    <t>21.378.906/0001-14</t>
  </si>
  <si>
    <t>PORTO SECO SUL DE MINAS LTDA</t>
  </si>
  <si>
    <t>7/26/1979</t>
  </si>
  <si>
    <t>CITLOG</t>
  </si>
  <si>
    <t>333</t>
  </si>
  <si>
    <t>AEROPORTO</t>
  </si>
  <si>
    <t>VARGINHA</t>
  </si>
  <si>
    <t>37031090</t>
  </si>
  <si>
    <t>998114407</t>
  </si>
  <si>
    <t>998095977</t>
  </si>
  <si>
    <t>998527826</t>
  </si>
  <si>
    <t>32191111</t>
  </si>
  <si>
    <t>ERNANE@EXPRINSUL.COM.BR</t>
  </si>
  <si>
    <t>LILIANA.BOTELHONOGUEIRAPAIVA@GMAIL.COM</t>
  </si>
  <si>
    <t>CLEBER@UNECOM.COM.BR</t>
  </si>
  <si>
    <t>BRENO NOGUEIRA PAIVA</t>
  </si>
  <si>
    <t>CAMILA NOGUEIRA PAIVA CARDOSO</t>
  </si>
  <si>
    <t>998968333</t>
  </si>
  <si>
    <t>MATHEUS NOGUEIRA PAIVA</t>
  </si>
  <si>
    <t>998236942</t>
  </si>
  <si>
    <t>4110700-Incorporação de empreendimentos imobiliários\6463800-Outras sociedades de participação, exceto holdings\6810201-Compra e venda de imóveis próprios\6810202-Aluguel de imóveis próprios\7739099-Aluguel de outras máquinas e equipamentos comerciais e industriais não especificados anteriormente, sem operador\8292000-Envasamento e empacotamento sob contrato</t>
  </si>
  <si>
    <t>707280431.00-44</t>
  </si>
  <si>
    <t>04.019.475/0001-80</t>
  </si>
  <si>
    <t>FARMA LOGISTICA E ARMAZENS GERAIS LTDA</t>
  </si>
  <si>
    <t>8/31/2000</t>
  </si>
  <si>
    <t>PORTUGAL</t>
  </si>
  <si>
    <t>1.100</t>
  </si>
  <si>
    <t>ARMZ PARTE A 2</t>
  </si>
  <si>
    <t>ITAQUI</t>
  </si>
  <si>
    <t>ITAPEVI</t>
  </si>
  <si>
    <t>6696060</t>
  </si>
  <si>
    <t>995739256</t>
  </si>
  <si>
    <t>976528623</t>
  </si>
  <si>
    <t>991269633</t>
  </si>
  <si>
    <t>47724200</t>
  </si>
  <si>
    <t>PARALEGAL.CORPORATIVO@LUFT.COM.BR</t>
  </si>
  <si>
    <t>MICHELI.MARQUES@LUFTEXPRESS.COM.BR</t>
  </si>
  <si>
    <t>LUFT PARTICIPACOES S/A</t>
  </si>
  <si>
    <t>LUCIANO LUFT</t>
  </si>
  <si>
    <t>957441000</t>
  </si>
  <si>
    <t>ADEMAR ELOI LUFT</t>
  </si>
  <si>
    <t>981193286</t>
  </si>
  <si>
    <t>3701100-Gestão de redes de esgoto\4930202-Transporte rodoviário de carga, exceto produtos perigosos e mudanças, intermunicipal, interestadual e internacional\5211799-Depósitos de mercadorias para terceiros, exceto armazéns gerais e guarda-móveis\5250804-Organização logística do transporte de carga\5250805-Operador de transporte multimodal - OTM\</t>
  </si>
  <si>
    <t>373.120.115.114</t>
  </si>
  <si>
    <t>74.657.784/0001-61</t>
  </si>
  <si>
    <t>CONFINA ALIMENTOS INDUSTRIAL LTDA</t>
  </si>
  <si>
    <t>CONFINA ALIMENTOS</t>
  </si>
  <si>
    <t>4/19/1994</t>
  </si>
  <si>
    <t>STELIO MACHADO LOUREIRO</t>
  </si>
  <si>
    <t>220</t>
  </si>
  <si>
    <t>STO ANTONIO</t>
  </si>
  <si>
    <t>POLONI</t>
  </si>
  <si>
    <t>15160000</t>
  </si>
  <si>
    <t>17</t>
  </si>
  <si>
    <t>996025677</t>
  </si>
  <si>
    <t>38197221</t>
  </si>
  <si>
    <t>JOSERICARDO@CONFINAALIMENTOS.COM.BR</t>
  </si>
  <si>
    <t>WILSON SOLER</t>
  </si>
  <si>
    <t>996091053</t>
  </si>
  <si>
    <t>FRIGORIFICO AVICOLA VOTUPORANGA LTDA</t>
  </si>
  <si>
    <t>34059505</t>
  </si>
  <si>
    <t>FRANCISCO PIGNATARI</t>
  </si>
  <si>
    <t>0154700-Criação de suínos\0155501-Criação de frangos para corte\0155505-Produção de ovos\1013901-Fabricação de produtos de carne\1013902-Preparação de subprodutos do abate\1066000-Fabricação de alimentos para animais\5211799-Depósitos de mercadorias para terceiros, exceto armazéns gerais e guarda-móveis\</t>
  </si>
  <si>
    <t>547.003.640.110</t>
  </si>
  <si>
    <t>65.849.838/0001-08</t>
  </si>
  <si>
    <t>PENSKE LOGISTICS DO BRASIL LTDA.</t>
  </si>
  <si>
    <t>4/29/1991</t>
  </si>
  <si>
    <t>DAS NACOES UNIDAS 11541</t>
  </si>
  <si>
    <t>11541</t>
  </si>
  <si>
    <t>ANDAR 17CONJ172</t>
  </si>
  <si>
    <t>BROOKLIN PAULISTA</t>
  </si>
  <si>
    <t>4578907</t>
  </si>
  <si>
    <t>998706213</t>
  </si>
  <si>
    <t>971024235</t>
  </si>
  <si>
    <t>964944508</t>
  </si>
  <si>
    <t>47892739</t>
  </si>
  <si>
    <t>PLSA.FISCAL@PENSKE.COM.BR</t>
  </si>
  <si>
    <t>JULIANA.CARMO@PENSKE.COM</t>
  </si>
  <si>
    <t>PLSA.FISCAL@PENSKE.COM</t>
  </si>
  <si>
    <t>PENSKE LOGISTICS LLC</t>
  </si>
  <si>
    <t>PAULO AUGUSTO MACHADO VIEIRA SARTI</t>
  </si>
  <si>
    <t>979702857</t>
  </si>
  <si>
    <t>OMAR DE SOUZA PASSOS</t>
  </si>
  <si>
    <t>997723721</t>
  </si>
  <si>
    <t>5211701-Armazéns gerais - emissão de warrant\5211799-Depósitos de mercadorias para terceiros, exceto armazéns gerais e guarda-móveis\5212500-Carga e descarga\5229099-Outras atividades auxiliares dos transportes terrestres não especificadas anteriormente\5240199-Atividades auxiliares dos transportes aéreos, exceto operação dos aeroportos e campos de aterrissagem\5250804-Organização logística do transporte de carga\5250805-Operador de transporte multimodal - OTM\6202300-Desenvolvimento e licenciamento de programas de computador customizáveis\6463800-Outras sociedades de participação, exceto holdings\7020400-Atividades de consultoria em gestão empresarial, exceto consultoria técnica específica</t>
  </si>
  <si>
    <t>148.683.720.111</t>
  </si>
  <si>
    <t>10.687.862/0001-98</t>
  </si>
  <si>
    <t>I. B. LOGISTICA E TRANSPORTES LTDA</t>
  </si>
  <si>
    <t>3/12/2009</t>
  </si>
  <si>
    <t>VINTE E SEIS</t>
  </si>
  <si>
    <t>1086</t>
  </si>
  <si>
    <t>ALEXANDRITA</t>
  </si>
  <si>
    <t>ITURAMA</t>
  </si>
  <si>
    <t>38280000</t>
  </si>
  <si>
    <t>996533651</t>
  </si>
  <si>
    <t>34</t>
  </si>
  <si>
    <t>999158057</t>
  </si>
  <si>
    <t>996564625</t>
  </si>
  <si>
    <t>MARREGA.ESCRITORIO@NETSITE.COM.BR</t>
  </si>
  <si>
    <t>ANTONIO CARLOS BOLDRIN</t>
  </si>
  <si>
    <t>996375451</t>
  </si>
  <si>
    <t>RICARDO ADILSON BOLDRIN</t>
  </si>
  <si>
    <t>996750087</t>
  </si>
  <si>
    <t>FRANCISCO DONIZETI BOLDRIN</t>
  </si>
  <si>
    <t>999675057</t>
  </si>
  <si>
    <t>0113000-Cultivo de cana-de-açúcar\0161001-Serviço de pulverização e controle de pragas agrícolas\0161003-Serviço de preparação de terreno, cultivo e colheita\3319800-Manutenção e reparação de equipamentos e produtos não especificados anteriormente\4930201-Transporte rodoviário de carga, exceto produtos perigosos e mudanças, municipal\7719599-Locação de outros meios de transporte não especificados anteriormente, sem condutor\7731400-Aluguel de máquinas e equipamentos agrícolas sem operador\</t>
  </si>
  <si>
    <t>001113374.00-22</t>
  </si>
  <si>
    <t>10.818.793/0001-04</t>
  </si>
  <si>
    <t>ABATEDORA AVICOLA SANTA VITORIA LTDA</t>
  </si>
  <si>
    <t>QUALITTI ALIMENTOS</t>
  </si>
  <si>
    <t>5/13/2009</t>
  </si>
  <si>
    <t>GO 476</t>
  </si>
  <si>
    <t>KM 16</t>
  </si>
  <si>
    <t>ZONA RURAL</t>
  </si>
  <si>
    <t>MORRINHOS</t>
  </si>
  <si>
    <t>75650000</t>
  </si>
  <si>
    <t>64</t>
  </si>
  <si>
    <t>999268334</t>
  </si>
  <si>
    <t>999268257</t>
  </si>
  <si>
    <t>999293953</t>
  </si>
  <si>
    <t>34174000</t>
  </si>
  <si>
    <t>CESAR ALTOMARI</t>
  </si>
  <si>
    <t>996421793</t>
  </si>
  <si>
    <t>SYLA ALTOMARI</t>
  </si>
  <si>
    <t>999830687</t>
  </si>
  <si>
    <t>0111302-Cultivo de milho\0111399-Cultivo de outros cereais não especificados anteriormente\0115600-Cultivo de soja\0155501-Criação de frangos para corte\0155502-Produção de pintos de um dia\1012103-Frigorífico - abate de suínos\1013901-Fabricação de produtos de carne\1013902-Preparação de subprodutos do abate\1041400-Fabricação de óleos vegetais em bruto, exceto óleo de milho\1066000-Fabricação de alimentos para animais\4633802-Comércio atacadista de aves vivas e ovos\4634601-Comércio atacadista de carnes bovinas e suínas e derivados\4634602-Comércio atacadista de aves abatidas e derivados\4639701-Comércio atacadista de produtos alimentícios em geral\5211799-Depósitos de mercadorias para terceiros, exceto armazéns gerais e guarda-móveis\</t>
  </si>
  <si>
    <t>10.455.984-5</t>
  </si>
  <si>
    <t>03.221.799/0001-34</t>
  </si>
  <si>
    <t>MATADOURO E FRIGORIFICO PALADAR LTDA</t>
  </si>
  <si>
    <t>PALADAR</t>
  </si>
  <si>
    <t>5/28/1999</t>
  </si>
  <si>
    <t>BR 381 2 A</t>
  </si>
  <si>
    <t>KM 265</t>
  </si>
  <si>
    <t>LGA DO PAU</t>
  </si>
  <si>
    <t>JAGUARACU</t>
  </si>
  <si>
    <t>35188000</t>
  </si>
  <si>
    <t>999762714</t>
  </si>
  <si>
    <t>975165242</t>
  </si>
  <si>
    <t>975226963</t>
  </si>
  <si>
    <t>38452066</t>
  </si>
  <si>
    <t>DORIZO@MAKROSISTEMAS.COM.BR</t>
  </si>
  <si>
    <t>JOMAR SOUZA ANDRADE</t>
  </si>
  <si>
    <t>996735211</t>
  </si>
  <si>
    <t>1013902-Preparação de subprodutos do abate\1066000-Fabricação de alimentos para animais\4631100-Comércio atacadista de leite e laticínios\4634601-Comércio atacadista de carnes bovinas e suínas e derivados\4634602-Comércio atacadista de aves abatidas e derivados\4635402-Comércio atacadista de cerveja, chope e refrigerante\4635499-Comércio atacadista de bebidas não especificadas anteriormente\4669999-Comércio atacadista de outras máquinas e equipamentos não especificados anteriormente, partes e peças\4673700-Comércio atacadista de material elétrico\4711302-Comércio varejista de mercadorias em geral, com predominância de produtos alimentícios - supermercados\4722901-Comércio varejista de carnes - açougues\4729699-Comércio varejista de produtos alimentícios em geral ou especializado em produtos alimentícios não especificados anteriormente\4789001-Comércio varejista de suvenires, bijuterias e artesanatos\5611203-Lanchonetes, casas de chá, de sucos e similares</t>
  </si>
  <si>
    <t>350049369.00-88</t>
  </si>
  <si>
    <t>96.825.575/0001-12</t>
  </si>
  <si>
    <t>INTERMARITIMA PORTOS E LOGISTICA S/A</t>
  </si>
  <si>
    <t>INTER - I</t>
  </si>
  <si>
    <t>9/3/1993</t>
  </si>
  <si>
    <t>ENGENHEIRO OSCAR PONTES</t>
  </si>
  <si>
    <t>000099</t>
  </si>
  <si>
    <t>GALPAOPORTO DE SSA</t>
  </si>
  <si>
    <t>AGUA DE MENINOS</t>
  </si>
  <si>
    <t>SALVADOR</t>
  </si>
  <si>
    <t>40460130</t>
  </si>
  <si>
    <t>71</t>
  </si>
  <si>
    <t>997289695</t>
  </si>
  <si>
    <t>996853137</t>
  </si>
  <si>
    <t>996903455</t>
  </si>
  <si>
    <t>38799717</t>
  </si>
  <si>
    <t>RAILTON@INTERMARITIMA.COM.BR</t>
  </si>
  <si>
    <t>ABEL@INTERMARITIMA.COM.BR</t>
  </si>
  <si>
    <t>ALAN.MELO@INTERMARITIMA.COM.BR</t>
  </si>
  <si>
    <t>ROBERTO ZITELMANN DE OLIVA</t>
  </si>
  <si>
    <t>991426214</t>
  </si>
  <si>
    <t>ROBERTO ZITELMANN DE OLIVA JUNIOR</t>
  </si>
  <si>
    <t>991157898</t>
  </si>
  <si>
    <t>HUMBERTO JOSE FARIAS CAMPOS FILHO</t>
  </si>
  <si>
    <t>999523151</t>
  </si>
  <si>
    <t>4930203-Transporte rodoviário de produtos perigosos\5211701-Armazéns gerais - emissão de warrant\5212500-Carga e descarga\5232000-Atividades de agenciamento marítimo</t>
  </si>
  <si>
    <t>038.924.310</t>
  </si>
  <si>
    <t>Carteira de Prospects — Vendedor 2</t>
  </si>
  <si>
    <t>61.752.739/0001-44</t>
  </si>
  <si>
    <t>PRIETO ALIMENTOS LTDA EM RECUPERACAO JUDICIAL</t>
  </si>
  <si>
    <t>12/5/1972</t>
  </si>
  <si>
    <t>VEREADOR JOAQUIM PEREIRA BARBOSA</t>
  </si>
  <si>
    <t>JORDANESIA (JORDANESIA)</t>
  </si>
  <si>
    <t>CAJAMAR</t>
  </si>
  <si>
    <t>7776450</t>
  </si>
  <si>
    <t>997669806</t>
  </si>
  <si>
    <t>950578821</t>
  </si>
  <si>
    <t>981818143</t>
  </si>
  <si>
    <t>48988106</t>
  </si>
  <si>
    <t>PATRICIA.AVILA@PRIETOALIMENTOS.COM.BR</t>
  </si>
  <si>
    <t>NATASHA@FRIGORIFICOPRIETO.COM.BR</t>
  </si>
  <si>
    <t>KEDMA@FRIGORIFICOPRIETO.COM.BR</t>
  </si>
  <si>
    <t>MARCO AURELIO DA CRUZ VILLARINO PRIETO</t>
  </si>
  <si>
    <t>996136190</t>
  </si>
  <si>
    <t>MARCELO DA CRUZ VILLARINO PRIETO</t>
  </si>
  <si>
    <t>996135780</t>
  </si>
  <si>
    <t>4619200-Representantes comerciais e agentes do comércio de mercadorias em geral não especializado\4930202-Transporte rodoviário de carga, exceto produtos perigosos e mudanças, intermunicipal, interestadual e internacional\6821802-Corretagem no aluguel de imóveis\</t>
  </si>
  <si>
    <t>241.003.423.118</t>
  </si>
  <si>
    <t>52.764.354/0001-06</t>
  </si>
  <si>
    <t>TEC VIDRO INDUSTRIA, COMERCIO E SERVICOS TECNICOS S.A.</t>
  </si>
  <si>
    <t>4713002</t>
  </si>
  <si>
    <t>Lojas de variedades, exceto lojas de departamentos ou magazines</t>
  </si>
  <si>
    <t>7/28/1983</t>
  </si>
  <si>
    <t>VENUS</t>
  </si>
  <si>
    <t>582</t>
  </si>
  <si>
    <t>SALA 01</t>
  </si>
  <si>
    <t>AMERICAN PARK EMPRESARIAL NR</t>
  </si>
  <si>
    <t>INDAIATUBA</t>
  </si>
  <si>
    <t>13347659</t>
  </si>
  <si>
    <t>989838293</t>
  </si>
  <si>
    <t>991020112</t>
  </si>
  <si>
    <t>975998936</t>
  </si>
  <si>
    <t>39355454</t>
  </si>
  <si>
    <t>TECVIDRO@TECVIDRO.COM.BR</t>
  </si>
  <si>
    <t>GERMANO TOLEDO WEGBECHER</t>
  </si>
  <si>
    <t>VINICIUS NUNES BRAGA</t>
  </si>
  <si>
    <t>999661035</t>
  </si>
  <si>
    <t>8211300-Serviços combinados de escritório e apoio administrativo\</t>
  </si>
  <si>
    <t>110.941.280.116</t>
  </si>
  <si>
    <t>83.491.985/0001-22</t>
  </si>
  <si>
    <t>SECCIONAL BRASIL SA</t>
  </si>
  <si>
    <t>SECCIONAL</t>
  </si>
  <si>
    <t>7/27/1977</t>
  </si>
  <si>
    <t>JUSCELINO KUBITSCHEK DE OLIVEIRA</t>
  </si>
  <si>
    <t>4225</t>
  </si>
  <si>
    <t>CIDADE INDUSTRIAL</t>
  </si>
  <si>
    <t>CURITIBA</t>
  </si>
  <si>
    <t>81270200</t>
  </si>
  <si>
    <t>992694931</t>
  </si>
  <si>
    <t>33172270</t>
  </si>
  <si>
    <t>995260027</t>
  </si>
  <si>
    <t>INFORME@SECCIONAL.COM.BR</t>
  </si>
  <si>
    <t>PAULA@SECCIONAL.COM.BR</t>
  </si>
  <si>
    <t>ANA@SECCIONAL.COM.BR</t>
  </si>
  <si>
    <t>PAULO EMMANUEL DE ABREU JUNIOR</t>
  </si>
  <si>
    <t>999734968</t>
  </si>
  <si>
    <t>PEDRO GUSTAVO ARAUJO DE ABREU</t>
  </si>
  <si>
    <t>999642860</t>
  </si>
  <si>
    <t>ANA CRISTINA ARAUJO DE ABREU MICHELENA</t>
  </si>
  <si>
    <t>991549262</t>
  </si>
  <si>
    <t>4292801-Montagem de estruturas metálicas\6462000-Holdings de instituições não financeiras\6810201-Compra e venda de imóveis próprios\6810202-Aluguel de imóveis próprios\7112000-Serviços de engenharia\7210000-Pesquisa e desenvolvimento experimental em ciências físicas e naturais\7739099-Aluguel de outras máquinas e equipamentos comerciais e industriais não especificados anteriormente, sem operador\7740300-Gestão de ativos intangíveis não financeiros</t>
  </si>
  <si>
    <t>10166115-61</t>
  </si>
  <si>
    <t>07.522.140/0001-79</t>
  </si>
  <si>
    <t>NITSHORE ENGENHARIA E SERVICOS PORTUARIOS S.A.</t>
  </si>
  <si>
    <t>8/1/2005</t>
  </si>
  <si>
    <t>FELICIANO SODRE</t>
  </si>
  <si>
    <t>215</t>
  </si>
  <si>
    <t>325</t>
  </si>
  <si>
    <t>NITEROI</t>
  </si>
  <si>
    <t>24030012</t>
  </si>
  <si>
    <t>972202462</t>
  </si>
  <si>
    <t>999043580</t>
  </si>
  <si>
    <t>995192149</t>
  </si>
  <si>
    <t>21012250</t>
  </si>
  <si>
    <t>MARIO.BARRETO@NITSHORE.COM.BR</t>
  </si>
  <si>
    <t>ANDREA.MONTEIRO@NITSHORE.COM.BR</t>
  </si>
  <si>
    <t>COMPRAS@NITSHORE.COM.BR</t>
  </si>
  <si>
    <t>GILSON GONCALVES RIBEIRO JUNIOR</t>
  </si>
  <si>
    <t>WILSON ROBERTO COUTINHO</t>
  </si>
  <si>
    <t>3811400-Coleta de resíduos não perigosos\3812200-Coleta de resíduos perigosos\5211799-Depósitos de mercadorias para terceiros, exceto armazéns gerais e guarda-móveis\5212500-Carga e descarga\5239799-Atividades auxiliares dos transportes aquaviários não especificadas anteriormente\</t>
  </si>
  <si>
    <t>77.980.326</t>
  </si>
  <si>
    <t>07.464.123/0001-22</t>
  </si>
  <si>
    <t>MAFRIAL MATADOURO E FRIGORIFICO LTDA</t>
  </si>
  <si>
    <t>1011201</t>
  </si>
  <si>
    <t>Frigorífico - abate de bovinos</t>
  </si>
  <si>
    <t>6/10/2005</t>
  </si>
  <si>
    <t>SINVAL RODRIGUES COELHO</t>
  </si>
  <si>
    <t>VILA ISA</t>
  </si>
  <si>
    <t>GOVERNADOR VALADARES</t>
  </si>
  <si>
    <t>35044380</t>
  </si>
  <si>
    <t>33</t>
  </si>
  <si>
    <t>991237628</t>
  </si>
  <si>
    <t>991237508</t>
  </si>
  <si>
    <t>991237737</t>
  </si>
  <si>
    <t>32788587</t>
  </si>
  <si>
    <t>CICERO.SILVA@MAFRIAL.COM.BR</t>
  </si>
  <si>
    <t>JUSCELINO@MAFRIAL.COM.BR</t>
  </si>
  <si>
    <t>JUSCELINO FARIA LOPES</t>
  </si>
  <si>
    <t>999897766</t>
  </si>
  <si>
    <t>1012103-Frigorífico - abate de suínos\1013901-Fabricação de produtos de carne\1013902-Preparação de subprodutos do abate\4634601-Comércio atacadista de carnes bovinas e suínas e derivados\4722901-Comércio varejista de carnes - açougues\4723700-Comércio varejista de bebidas\4789099-Comércio varejista de outros produtos não especificados anteriormente\</t>
  </si>
  <si>
    <t>277377294.00-07</t>
  </si>
  <si>
    <t>87.654.547/0001-99</t>
  </si>
  <si>
    <t>COESUL-CONSTRUTORA EXTREMO SUL LTDA</t>
  </si>
  <si>
    <t>8/10/1981</t>
  </si>
  <si>
    <t>FERNANDO FERRARI</t>
  </si>
  <si>
    <t>5999</t>
  </si>
  <si>
    <t>PORTO ALEGRE</t>
  </si>
  <si>
    <t>91140600</t>
  </si>
  <si>
    <t>996384734</t>
  </si>
  <si>
    <t>997600812</t>
  </si>
  <si>
    <t>997708396</t>
  </si>
  <si>
    <t>33655533</t>
  </si>
  <si>
    <t>RBOCK@COESUL.COM.BR</t>
  </si>
  <si>
    <t>ALDO@COESUL.COM.BR</t>
  </si>
  <si>
    <t>ANGELO@COESUL.COM.BR</t>
  </si>
  <si>
    <t>LUCI TERESINHA DA SILVA MOTTOLA</t>
  </si>
  <si>
    <t>ROGERIO DA SILVA MOTTOLA</t>
  </si>
  <si>
    <t>999555831</t>
  </si>
  <si>
    <t>LUCIANE DA SILVA MOTTOLA</t>
  </si>
  <si>
    <t>999557352</t>
  </si>
  <si>
    <t>0810099-Extração e britamento de pedras e outros materiais para construção e beneficiamento associado\4110700-Incorporação de empreendimentos imobiliários\4211101-Construção de rodovias e ferrovias\4212000-Construção de obras de arte especiais\4213800-Obras de urbanização - ruas, praças e calçadas\4221902-Construção de estações e redes de distribuição de energia elétrica\4222701-Construção de redes de abastecimento de água, coleta de esgoto e construções correlatas, exceto obras de irrigação\4313400-Obras de terraplenagem\4930203-Transporte rodoviário de produtos perigosos\7112000-Serviços de engenharia</t>
  </si>
  <si>
    <t>165/0121510</t>
  </si>
  <si>
    <t>01.417.701/0001-93</t>
  </si>
  <si>
    <t>FRICAL ALIMENTOS S/A</t>
  </si>
  <si>
    <t>FRICAL ALIMENTOS</t>
  </si>
  <si>
    <t>9/10/1996</t>
  </si>
  <si>
    <t>CORONEL PEDRO MARTINS 137</t>
  </si>
  <si>
    <t>CARATINGA</t>
  </si>
  <si>
    <t>35300970</t>
  </si>
  <si>
    <t>998109406</t>
  </si>
  <si>
    <t>998111831</t>
  </si>
  <si>
    <t>998104481</t>
  </si>
  <si>
    <t>33227000</t>
  </si>
  <si>
    <t>FRICAL@FRICALALIMENTOS.COM.BR</t>
  </si>
  <si>
    <t>ALEXANDRE@FRICALALIMENTOS.COM.BR</t>
  </si>
  <si>
    <t>ANDERSONSALLES@FRICALALIMENTOS.COM.BR</t>
  </si>
  <si>
    <t>ROGERIO MIRANDA SALIM</t>
  </si>
  <si>
    <t>984070662</t>
  </si>
  <si>
    <t>ANTONIO SALIM NETO</t>
  </si>
  <si>
    <t>91</t>
  </si>
  <si>
    <t>992822888</t>
  </si>
  <si>
    <t>1012103-Frigorífico - abate de suínos\1013901-Fabricação de produtos de carne\1013902-Preparação de subprodutos do abate\4623102-Comércio atacadista de couros, lãs, peles e outros subprodutos não comestíveis de origem animal\4631100-Comércio atacadista de leite e laticínios\4633801-Comércio atacadista de frutas, verduras, raízes, tubérculos, hortaliças e legumes frescos\4634601-Comércio atacadista de carnes bovinas e suínas e derivados\4634602-Comércio atacadista de aves abatidas e derivados\4634603-Comércio atacadista de pescados e frutos do mar\4635401-Comércio atacadista de água mineral\4635402-Comércio atacadista de cerveja, chope e refrigerante\4635499-Comércio atacadista de bebidas não especificadas anteriormente\4637199-Comércio atacadista especializado em outros produtos alimentícios não especificados anteriormente\</t>
  </si>
  <si>
    <t>134720720.00-15</t>
  </si>
  <si>
    <t>50.220.417/0001-38</t>
  </si>
  <si>
    <t>ALUFER S A ESTRUTURAS METALICAS</t>
  </si>
  <si>
    <t>12/20/1962</t>
  </si>
  <si>
    <t>GENERAL FURTADO NASCIMENTO</t>
  </si>
  <si>
    <t>684</t>
  </si>
  <si>
    <t>7 AND CJS 71 73 74</t>
  </si>
  <si>
    <t>ALTO DE PINHEIROS</t>
  </si>
  <si>
    <t>5465070</t>
  </si>
  <si>
    <t>40241004</t>
  </si>
  <si>
    <t>ITU@ALUFER.COM.BR</t>
  </si>
  <si>
    <t>ROBERTO PALENGA</t>
  </si>
  <si>
    <t>972034308</t>
  </si>
  <si>
    <t>GUIDO ROMOLO GIOVANNI PALENGA</t>
  </si>
  <si>
    <t>978242059</t>
  </si>
  <si>
    <t>MARCIO QUILEZ FERREIRA</t>
  </si>
  <si>
    <t>67</t>
  </si>
  <si>
    <t>991283365</t>
  </si>
  <si>
    <t>2521700-Fabricação de tanques, reservatórios metálicos e caldeiras para aquecimento central\</t>
  </si>
  <si>
    <t>116.728.472.118</t>
  </si>
  <si>
    <t>02.092.233/0001-97</t>
  </si>
  <si>
    <t>CONCAIS S/A</t>
  </si>
  <si>
    <t>9/4/1997</t>
  </si>
  <si>
    <t>GOMES DE CARVALHO</t>
  </si>
  <si>
    <t>1306</t>
  </si>
  <si>
    <t>ANDAR 8 SALA 83</t>
  </si>
  <si>
    <t>VILA OLIMPIA</t>
  </si>
  <si>
    <t>4547005</t>
  </si>
  <si>
    <t>30488822</t>
  </si>
  <si>
    <t>INFORM@CONCAIS.COM.BR</t>
  </si>
  <si>
    <t>LUIS ANTONIO FLORIANO</t>
  </si>
  <si>
    <t>984951792</t>
  </si>
  <si>
    <t>LUIS GUSTAVO BATISTA</t>
  </si>
  <si>
    <t>997141463</t>
  </si>
  <si>
    <t>148.301.001.112</t>
  </si>
  <si>
    <t>70.986.302/0001-66</t>
  </si>
  <si>
    <t>FRIGORIFICO ATALAIA S/A</t>
  </si>
  <si>
    <t>ATALAIA ALIMENTOS</t>
  </si>
  <si>
    <t>3/29/1993</t>
  </si>
  <si>
    <t>DA FABRICA</t>
  </si>
  <si>
    <t>10</t>
  </si>
  <si>
    <t>R DE BAIXO</t>
  </si>
  <si>
    <t>PRADOS</t>
  </si>
  <si>
    <t>36320000</t>
  </si>
  <si>
    <t>32</t>
  </si>
  <si>
    <t>999382664</t>
  </si>
  <si>
    <t>998135896</t>
  </si>
  <si>
    <t>999747376</t>
  </si>
  <si>
    <t>33536482</t>
  </si>
  <si>
    <t>NFSERVICOS@ATALAIAALIMENTOS.IND.BR</t>
  </si>
  <si>
    <t>MARCELO.FULLIN@ATALAIAALIMENTOS.IND.BR</t>
  </si>
  <si>
    <t>CLARISSE@ATALAIAALIMENTOS.IND.BR</t>
  </si>
  <si>
    <t>MARCELO ANTONIO DAS CHAGAS</t>
  </si>
  <si>
    <t>999001430</t>
  </si>
  <si>
    <t>CLARISSE DE FATIMA FERREIRA CHAGAS</t>
  </si>
  <si>
    <t>999005430</t>
  </si>
  <si>
    <t>0155501-Criação de frangos para corte\0155502-Produção de pintos de um dia\0155503-Criação de outros galináceos, exceto para corte\0155504-Criação de aves, exceto galináceos\0163600-Atividades de pós-colheita\1013901-Fabricação de produtos de carne\1013902-Preparação de subprodutos do abate\1066000-Fabricação de alimentos para animais\1091101-Fabricação de produtos de panificação industrial\1094500-Fabricação de massas alimentícias\1096100-Fabricação de alimentos e pratos prontos\4623109-Comércio atacadista de alimentos para animais\4623199-Comércio atacadista de matérias-primas agrícolas não especificadas anteriormente\4633802-Comércio atacadista de aves vivas e ovos\4634601-Comércio atacadista de carnes bovinas e suínas e derivados\4634602-Comércio atacadista de aves abatidas e derivados\4634603-Comércio atacadista de pescados e frutos do mar\4634699-Comércio atacadista de carnes e derivados de outros animais\4637105-Comércio atacadista de massas alimentícias\4639701-Comércio atacadista de produtos alimentícios em geral\4729699-Comércio varejista de produtos alimentícios em geral ou especializado em produtos alimentícios não especificados anteriormente\5211701-Armazéns gerais - emissão de warrant\5211799-Depósitos de mercadorias para terceiros, exceto armazéns gerais e guarda-móveis\5212500-Carga e descarga\5250804-Organização logística do transporte de carga\6319400-Portais, provedores de conteúdo e outros serviços de informação na Internet\6463800-Outras sociedades de participação, exceto holdings\7120100-Testes e análises técnicas\8211300-Serviços combinados de escritório e apoio administrativo\8291100-Atividades de cobrança e informações cadastrais</t>
  </si>
  <si>
    <t>527839562.00-07</t>
  </si>
  <si>
    <t>22.651.194/0001-28</t>
  </si>
  <si>
    <t>FUNDICAO SIDERAL LTDA</t>
  </si>
  <si>
    <t>3/12/1987</t>
  </si>
  <si>
    <t>MG-431</t>
  </si>
  <si>
    <t>KM 35 5</t>
  </si>
  <si>
    <t>VILA TAVARES</t>
  </si>
  <si>
    <t>35680143</t>
  </si>
  <si>
    <t>998743144</t>
  </si>
  <si>
    <t>999544918</t>
  </si>
  <si>
    <t>999316404</t>
  </si>
  <si>
    <t>32494500</t>
  </si>
  <si>
    <t>DANIELSOARES@FUNDICAOSIDERAL.COM.BR</t>
  </si>
  <si>
    <t>LOGISTICA@FUNDICAOSIDERAL.COM.BR</t>
  </si>
  <si>
    <t>SUPRIMENTOS@FUNDICAOSIDERAL.COM.BR</t>
  </si>
  <si>
    <t>JOSE MAURICIO ANDRADE SOARES</t>
  </si>
  <si>
    <t>988224736</t>
  </si>
  <si>
    <t>SIDERAL PARTICIPACOES LTDA</t>
  </si>
  <si>
    <t>DANIEL DE CASTRO ANDRADE SOARES</t>
  </si>
  <si>
    <t>998047831</t>
  </si>
  <si>
    <t>0115600-Cultivo de soja\0210101-Cultivo de eucalipto\2411300-Produção de ferro-gusa\2452100-Fundição de metais não ferrosos e suas ligas\2539001-Serviços de usinagem, torneiria e solda\3831999-Recuperação de materiais metálicos, exceto alumínio</t>
  </si>
  <si>
    <t>338533381.00-32</t>
  </si>
  <si>
    <t>05.367.368/0001-06</t>
  </si>
  <si>
    <t>FM MODEL TRANSPORTES LTDA</t>
  </si>
  <si>
    <t>FM MODEL TRANSPORTES</t>
  </si>
  <si>
    <t>10/25/2002</t>
  </si>
  <si>
    <t>BARAO DE JAGUARA, 707</t>
  </si>
  <si>
    <t>707</t>
  </si>
  <si>
    <t>SALA 151</t>
  </si>
  <si>
    <t>CAMPINAS</t>
  </si>
  <si>
    <t>13015926</t>
  </si>
  <si>
    <t>998670214</t>
  </si>
  <si>
    <t>952240369</t>
  </si>
  <si>
    <t>40981740</t>
  </si>
  <si>
    <t>EXPEDICAO@LHFABER.COM.BE</t>
  </si>
  <si>
    <t>FERNANDO BORGES MODEL</t>
  </si>
  <si>
    <t>994010497</t>
  </si>
  <si>
    <t>5250803-Agenciamento de cargas, exceto para o transporte marítimo\7732201-Aluguel de máquinas e equipamentos para construção sem operador, exceto andaimes</t>
  </si>
  <si>
    <t>387.251.936.115</t>
  </si>
  <si>
    <t>02.426.290/0001-65</t>
  </si>
  <si>
    <t>BIOMEDICAL DISTRIBUTION MERCOSUR LTDA</t>
  </si>
  <si>
    <t>BOMI BRASIL</t>
  </si>
  <si>
    <t>3/10/1998</t>
  </si>
  <si>
    <t>1100</t>
  </si>
  <si>
    <t>C 26 PARTE</t>
  </si>
  <si>
    <t>985382511</t>
  </si>
  <si>
    <t>987860210</t>
  </si>
  <si>
    <t>961850785</t>
  </si>
  <si>
    <t>47748033</t>
  </si>
  <si>
    <t>RECEBIMENTO.NFE@BOMIGROUP.COM</t>
  </si>
  <si>
    <t>BOMI ITALIA SPA</t>
  </si>
  <si>
    <t>TELMA NICOLETTI SANTORO</t>
  </si>
  <si>
    <t>997018800</t>
  </si>
  <si>
    <t>GILBERTO JOSE DOS SANTOS</t>
  </si>
  <si>
    <t>943626786</t>
  </si>
  <si>
    <t>4930201-Transporte rodoviário de carga, exceto produtos perigosos e mudanças, municipal\4930202-Transporte rodoviário de carga, exceto produtos perigosos e mudanças, intermunicipal, interestadual e internacional\4930203-Transporte rodoviário de produtos perigosos\5211799-Depósitos de mercadorias para terceiros, exceto armazéns gerais e guarda-móveis\5229099-Outras atividades auxiliares dos transportes terrestres não especificadas anteriormente\5250803-Agenciamento de cargas, exceto para o transporte marítimo\5250804-Organização logística do transporte de carga\5250805-Operador de transporte multimodal - OTM\7810800-Seleção e agenciamento de mão de obra\7820500-Locação de mão de obra temporária</t>
  </si>
  <si>
    <t>373.119.710.119</t>
  </si>
  <si>
    <t>05.107.871/0001-22</t>
  </si>
  <si>
    <t>FRANGO NUTRIBEM LTDA.</t>
  </si>
  <si>
    <t>6/18/2002</t>
  </si>
  <si>
    <t>SP 355</t>
  </si>
  <si>
    <t>KM DOZE E MEIO</t>
  </si>
  <si>
    <t>NOVA ALIANCA</t>
  </si>
  <si>
    <t>15210000</t>
  </si>
  <si>
    <t>997897637</t>
  </si>
  <si>
    <t>996554338</t>
  </si>
  <si>
    <t>996770175</t>
  </si>
  <si>
    <t>38117383</t>
  </si>
  <si>
    <t>EMERSON@FRANGONUTRIBEM.COM.BR</t>
  </si>
  <si>
    <t>ALINE@FRANGONUTRIBEM.COM.BR</t>
  </si>
  <si>
    <t>CAIO.BAZETTI@FRANGONUTRIBEM.COM.BR</t>
  </si>
  <si>
    <t>CARLOS TOSHIHIRO MIZUSAKI</t>
  </si>
  <si>
    <t>RICARDO GRANDIZOLI</t>
  </si>
  <si>
    <t>996188769</t>
  </si>
  <si>
    <t>FABIO GRANDIZOLI</t>
  </si>
  <si>
    <t>992345995</t>
  </si>
  <si>
    <t>0155501-Criação de frangos para corte\1013901-Fabricação de produtos de carne\1013902-Preparação de subprodutos do abate\1066000-Fabricação de alimentos para animais\4633803-Comércio atacadista de coelhos e outros pequenos animais vivos para alimentação\4634601-Comércio atacadista de carnes bovinas e suínas e derivados\4634602-Comércio atacadista de aves abatidas e derivados\4930202-Transporte rodoviário de carga, exceto produtos perigosos e mudanças, intermunicipal, interestadual e internacional</t>
  </si>
  <si>
    <t>476.054.276.110</t>
  </si>
  <si>
    <t>61.024.295/0001-20</t>
  </si>
  <si>
    <t>ARFRIO S/A ARMAZENS GERAIS FRIGORIFICOS</t>
  </si>
  <si>
    <t>4/11/1967</t>
  </si>
  <si>
    <t>JUSSARA</t>
  </si>
  <si>
    <t>1001</t>
  </si>
  <si>
    <t>JARDIM SANTA CECILIA</t>
  </si>
  <si>
    <t>06465070</t>
  </si>
  <si>
    <t>999719190</t>
  </si>
  <si>
    <t>999886473</t>
  </si>
  <si>
    <t>999763924</t>
  </si>
  <si>
    <t>41954000</t>
  </si>
  <si>
    <t>LCAMPOS@ARFRIO.COM.BR</t>
  </si>
  <si>
    <t>MARCELO VASONE</t>
  </si>
  <si>
    <t>982792242</t>
  </si>
  <si>
    <t>EDUARDO AMERICO DE ATHAIDE VASONE</t>
  </si>
  <si>
    <t>981061896</t>
  </si>
  <si>
    <t>RODOLFO VASONE</t>
  </si>
  <si>
    <t>964189016</t>
  </si>
  <si>
    <t>206.009.400.114</t>
  </si>
  <si>
    <t>51.979.359/0001-93</t>
  </si>
  <si>
    <t>STOLTHAVEN SANTOS LTDA</t>
  </si>
  <si>
    <t>11/3/1982</t>
  </si>
  <si>
    <t>AUGUSTO SCARABOTO</t>
  </si>
  <si>
    <t>245</t>
  </si>
  <si>
    <t>ALEMOA</t>
  </si>
  <si>
    <t>SANTOS</t>
  </si>
  <si>
    <t>11095500</t>
  </si>
  <si>
    <t>997238255</t>
  </si>
  <si>
    <t>997474318</t>
  </si>
  <si>
    <t>996398680</t>
  </si>
  <si>
    <t>32959003</t>
  </si>
  <si>
    <t>SRIBAS@SNTG.COM</t>
  </si>
  <si>
    <t>STOLTHAVEN TERMINALS BV</t>
  </si>
  <si>
    <t>STOLT-NIELSEN BRASIL AFRETAMENTO LTDA.</t>
  </si>
  <si>
    <t>38974999</t>
  </si>
  <si>
    <t>MARCELO TIACCI SCHMITT</t>
  </si>
  <si>
    <t>983830729</t>
  </si>
  <si>
    <t>633.190.383.111</t>
  </si>
  <si>
    <t>89.082.085/0001-08</t>
  </si>
  <si>
    <t>RIO DO SUL SERVICO E TRANSPORTE LTDA</t>
  </si>
  <si>
    <t>12/6/1976</t>
  </si>
  <si>
    <t>EVARISTO LOPES</t>
  </si>
  <si>
    <t>483</t>
  </si>
  <si>
    <t>ERMO</t>
  </si>
  <si>
    <t>GUAIBA</t>
  </si>
  <si>
    <t>92702700</t>
  </si>
  <si>
    <t>997591437</t>
  </si>
  <si>
    <t>995824623</t>
  </si>
  <si>
    <t>998693752</t>
  </si>
  <si>
    <t>34801261</t>
  </si>
  <si>
    <t>RIODOSUL.RS@GMAIL.COM</t>
  </si>
  <si>
    <t>ACOGLIATTI@SULAMERICA.COM.BR</t>
  </si>
  <si>
    <t>ADELCO.MARINHO@SULAMERICA.COM.BR</t>
  </si>
  <si>
    <t>PAULO ARRUDA DE OLIVEIRA</t>
  </si>
  <si>
    <t>999834441</t>
  </si>
  <si>
    <t>MARIA DE LOURDES HARLACHER GARCIA</t>
  </si>
  <si>
    <t>993657457</t>
  </si>
  <si>
    <t>PAULO ROBERTO VIEIRA DE OLIVEIRA</t>
  </si>
  <si>
    <t>998561409</t>
  </si>
  <si>
    <t>0161099-Atividades de apoio à agricultura não especificadas anteriormente\0230600-Atividades de apoio à produção florestal\3319800-Manutenção e reparação de equipamentos e produtos não especificados anteriormente\3600601-Captação, tratamento e distribuição de água\3701100-Gestão de redes de esgoto\3702900-Atividades relacionadas a esgoto, exceto a gestão de redes\4120400-Construção de edifícios\4211101-Construção de rodovias e ferrovias\4213800-Obras de urbanização - ruas, praças e calçadas\4222701-Construção de redes de abastecimento de água, coleta de esgoto e construções correlatas, exceto obras de irrigação\4313400-Obras de terraplenagem\4399104-Serviços de operação e fornecimento de equipamentos para transporte e elevação de cargas e pessoas para uso em obras\4923002-Serviço de transporte de passageiros - locação de automóveis com motorista\4930202-Transporte rodoviário de carga, exceto produtos perigosos e mudanças, intermunicipal, interestadual e internacional\4930203-Transporte rodoviário de produtos perigosos\5212500-Carga e descarga\5250803-Agenciamento de cargas, exceto para o transporte marítimo\5250804-Organização logística do transporte de carga\5320202-Serviços de entrega rápida\7711000-Locação de automóveis sem condutor\7731400-Aluguel de máquinas e equipamentos agrícolas sem operador\7732201-Aluguel de máquinas e equipamentos para construção sem operador, exceto andaimes\7739099-Aluguel de outras máquinas e equipamentos comerciais e industriais não especificados anteriormente, sem operador\8130300-Atividades paisagísticas</t>
  </si>
  <si>
    <t>058/0023966</t>
  </si>
  <si>
    <t>07.702.969/0001-53</t>
  </si>
  <si>
    <t>FUNDICAO REGALI BRASIL LTDA.</t>
  </si>
  <si>
    <t>10/20/2005</t>
  </si>
  <si>
    <t>DOUTOR JOSE FABIANO DE CHRISTO GURJAO</t>
  </si>
  <si>
    <t>490</t>
  </si>
  <si>
    <t>DISTRITO INDUSTRIAL II LUIZ TORRANI</t>
  </si>
  <si>
    <t>MOGI MIRIM</t>
  </si>
  <si>
    <t>13803705</t>
  </si>
  <si>
    <t>998427442</t>
  </si>
  <si>
    <t>998427450</t>
  </si>
  <si>
    <t>998428895</t>
  </si>
  <si>
    <t>38057460</t>
  </si>
  <si>
    <t>FINANCEIRO@FUNDICAOREGALI.COM.BR</t>
  </si>
  <si>
    <t>SIMONE@REGALIBRASIL.COM.BR</t>
  </si>
  <si>
    <t>CELSO@REGALIBRASIL.COM.BR</t>
  </si>
  <si>
    <t>REGALI INTERNATIONAL SRL</t>
  </si>
  <si>
    <t>MASSIMO REGALI</t>
  </si>
  <si>
    <t>998427560</t>
  </si>
  <si>
    <t>2941700-Fabricação de peças e acessórios para o sistema motor de veículos automotores\2942500-Fabricação de peças e acessórios para os sistemas de marcha e transmissão de veículos automotores\2943300-Fabricação de peças e acessórios para o sistema de freios de veículos automotores\2949299-Fabricação de outras peças e acessórios para veículos automotores não especificadas anteriormente</t>
  </si>
  <si>
    <t>456.064.276.113</t>
  </si>
  <si>
    <t>85.641.066/0001-13</t>
  </si>
  <si>
    <t>FRIGORIFICO VERDI LTDA.</t>
  </si>
  <si>
    <t>12/30/1969</t>
  </si>
  <si>
    <t>ARI VERDI</t>
  </si>
  <si>
    <t>410</t>
  </si>
  <si>
    <t>POUSO REDONDO</t>
  </si>
  <si>
    <t>89172000</t>
  </si>
  <si>
    <t>35458100</t>
  </si>
  <si>
    <t>999330932</t>
  </si>
  <si>
    <t>999330827</t>
  </si>
  <si>
    <t>999330703</t>
  </si>
  <si>
    <t>JAQUELINE@FRIGORIFICOVERDI.COM.BR</t>
  </si>
  <si>
    <t>ELFRIDA BICHELS VERDI</t>
  </si>
  <si>
    <t>ARIANE BICHELS VERDI CRISTOFOLINI</t>
  </si>
  <si>
    <t>999680470</t>
  </si>
  <si>
    <t>ARIEL HENRIQUE BICHELS VERDI</t>
  </si>
  <si>
    <t>1013901-Fabricação de produtos de carne\4623101-Comércio atacadista de animais vivos\4692300-Comércio atacadista de mercadorias em geral, com predominância de insumos agropecuários\4789099-Comércio varejista de outros produtos não especificados anteriormente\4930202-Transporte rodoviário de carga, exceto produtos perigosos e mudanças, intermunicipal, interestadual e internacional\</t>
  </si>
  <si>
    <t>250160072</t>
  </si>
  <si>
    <t>07.750.075/0001-39</t>
  </si>
  <si>
    <t>UNIAO AGROINDUSTRIAL LTDA</t>
  </si>
  <si>
    <t>UNIAO AVICOLA</t>
  </si>
  <si>
    <t>12/19/2005</t>
  </si>
  <si>
    <t>MT 160 KM 03</t>
  </si>
  <si>
    <t>MT 160 KM 3</t>
  </si>
  <si>
    <t>NOVA MARILANDIA</t>
  </si>
  <si>
    <t>78415000</t>
  </si>
  <si>
    <t>65</t>
  </si>
  <si>
    <t>33521219</t>
  </si>
  <si>
    <t>CONTABILIDADE@UNIAOAVICOLA.IND.BR</t>
  </si>
  <si>
    <t>ADRIANA.ARAUJO@UNIAOAVICOLA.IND.BR</t>
  </si>
  <si>
    <t>ALEMAR.BORGES@UNIAOAVICOLA.IND.BR</t>
  </si>
  <si>
    <t>JOSE APARECIDO DOS SANTOS</t>
  </si>
  <si>
    <t>984221806</t>
  </si>
  <si>
    <t>MARLI BECKER SANTOS</t>
  </si>
  <si>
    <t>984795558</t>
  </si>
  <si>
    <t>MC EMPREENDIMENTOS &amp; PARTICIPACOES LTDA</t>
  </si>
  <si>
    <t>33169050</t>
  </si>
  <si>
    <t>0154700-Criação de suínos\0155501-Criação de frangos para corte\0163600-Atividades de pós-colheita\1013901-Fabricação de produtos de carne\1013902-Preparação de subprodutos do abate\1066000-Fabricação de alimentos para animais\1069400-Moagem e fabricação de produtos de origem vegetal não especificados anteriormente\1099699-Fabricação de outros produtos alimentícios não especificados anteriormente\1932200-Fabricação de biocombustíveis, exceto álcool\4623101-Comércio atacadista de animais vivos\4623109-Comércio atacadista de alimentos para animais\4623199-Comércio atacadista de matérias-primas agrícolas não especificadas anteriormente\4633801-Comércio atacadista de frutas, verduras, raízes, tubérculos, hortaliças e legumes frescos\4789004-Comércio varejista de animais vivos e de artigos e alimentos para animais de estimação\5211701-Armazéns gerais - emissão de warrant\6463800-Outras sociedades de participação, exceto holdings</t>
  </si>
  <si>
    <t>13.313.191-2</t>
  </si>
  <si>
    <t>49.243.124/0001-97</t>
  </si>
  <si>
    <t>TRANSMORENO TRANSPORTE E LOGISTICA LTDA</t>
  </si>
  <si>
    <t>4/6/1978</t>
  </si>
  <si>
    <t>VANDERLEI MORENO</t>
  </si>
  <si>
    <t>13130</t>
  </si>
  <si>
    <t>ROSEIRA DE SAO SEBASTIAO</t>
  </si>
  <si>
    <t>SAO JOSE DOS PINHAIS</t>
  </si>
  <si>
    <t>83070245</t>
  </si>
  <si>
    <t>999017539</t>
  </si>
  <si>
    <t>998572543</t>
  </si>
  <si>
    <t>992258891</t>
  </si>
  <si>
    <t>31347700</t>
  </si>
  <si>
    <t>FISCAL@TRANSMORENO.COM.BR</t>
  </si>
  <si>
    <t>SIDNEI.DANIOTI@TRANSMORENO.COM.BR</t>
  </si>
  <si>
    <t>THIAGO.MORENO@TRANSMORENO.COM.BR</t>
  </si>
  <si>
    <t>GUILHERME DE ANDRADE FONSECA SAMPAIO</t>
  </si>
  <si>
    <t>981209281</t>
  </si>
  <si>
    <t>RAMON PERES MARTINEZ GARCIA DE ALCARAZ</t>
  </si>
  <si>
    <t>981337577</t>
  </si>
  <si>
    <t>JSL S.A.</t>
  </si>
  <si>
    <t>23777000</t>
  </si>
  <si>
    <t>4520001-Serviços de manutenção e reparação mecânica de veículos automotores\4520002-Serviços de lanternagem ou funilaria e pintura de veículos automotores\4520003-Serviços de manutenção e reparação elétrica de veículos automotores\4520004-Serviços de alinhamento e balanceamento de veículos automotores\4520005-Serviços de lavagem, lubrificação e polimento de veículos automotores\4520006-Serviços de borracharia para veículos automotores\4520007-Serviços de instalação, manutenção e reparação de acessórios para veículos automotores\4520008-Serviços de capotaria\4930201-Transporte rodoviário de carga, exceto produtos perigosos e mudanças, municipal\5211701-Armazéns gerais - emissão de warrant\5211799-Depósitos de mercadorias para terceiros, exceto armazéns gerais e guarda-móveis\5212500-Carga e descarga\5223100-Estacionamento de veículos\5250804-Organização logística do transporte de carga\6810202-Aluguel de imóveis próprios\6821802-Corretagem no aluguel de imóveis\7719599-Locação de outros meios de transporte não especificados anteriormente, sem condutor\</t>
  </si>
  <si>
    <t>06.132.739/0001-33</t>
  </si>
  <si>
    <t>BURITI COMERCIO DE CARNES LTDA</t>
  </si>
  <si>
    <t>BURITI</t>
  </si>
  <si>
    <t>3/5/2004</t>
  </si>
  <si>
    <t>CX POSTAL 101</t>
  </si>
  <si>
    <t>AQUIDAUANA</t>
  </si>
  <si>
    <t>79200000</t>
  </si>
  <si>
    <t>992262000</t>
  </si>
  <si>
    <t>36861046</t>
  </si>
  <si>
    <t>CONTROLADORIA@BURITICARNES.COM.BR</t>
  </si>
  <si>
    <t>CONDADOS.OFC@IG.COM.BR</t>
  </si>
  <si>
    <t>DANIEL CHRAMOSTA</t>
  </si>
  <si>
    <t>996302620</t>
  </si>
  <si>
    <t>0151201-Criação de bovinos para corte\1011204-Frigorífico - abate de bufalinos\1013901-Fabricação de produtos de carne\1013902-Preparação de subprodutos do abate\4611700-Representantes comerciais e agentes do comércio de matérias-primas agrícolas e animais vivos\4623101-Comércio atacadista de animais vivos\4634601-Comércio atacadista de carnes bovinas e suínas e derivados\4634602-Comércio atacadista de aves abatidas e derivados\4722901-Comércio varejista de carnes - açougues\4729602-Comércio varejista de mercadorias em lojas de conveniência</t>
  </si>
  <si>
    <t>28.331.065-0</t>
  </si>
  <si>
    <t>00.220.615/0001-23</t>
  </si>
  <si>
    <t>META COMERCIO DE PRODUTOS AGRICOLAS LTDA.</t>
  </si>
  <si>
    <t>9/29/1994</t>
  </si>
  <si>
    <t>URUGUAI</t>
  </si>
  <si>
    <t>1954</t>
  </si>
  <si>
    <t>APT 201</t>
  </si>
  <si>
    <t>BOQUEIRAO</t>
  </si>
  <si>
    <t>PASSO FUNDO</t>
  </si>
  <si>
    <t>99010112</t>
  </si>
  <si>
    <t>999192664</t>
  </si>
  <si>
    <t>991055252</t>
  </si>
  <si>
    <t>55</t>
  </si>
  <si>
    <t>997222786</t>
  </si>
  <si>
    <t>33141422</t>
  </si>
  <si>
    <t>VLA.AMARANTE@GMAIL.COM</t>
  </si>
  <si>
    <t>LORENA.LOPES@METAAGRICOLA.COM.BR</t>
  </si>
  <si>
    <t>CONTASAPAGAR@METAAGRICOLA.COM.BR</t>
  </si>
  <si>
    <t>M. WAGNER LTDA</t>
  </si>
  <si>
    <t>ROSO PARTICIPACOES LTDA.</t>
  </si>
  <si>
    <t>33422420</t>
  </si>
  <si>
    <t>FELIPE DE MELLO GALVAN</t>
  </si>
  <si>
    <t>4511101-Comércio a varejo de automóveis, camionetas e utilitários novos\4520001-Serviços de manutenção e reparação mecânica de veículos automotores\4530702-Comércio por atacado de pneumáticos e câmaras-de-ar\4530703-Comércio a varejo de peças e acessórios novos para veículos automotores\4622200-Comércio atacadista de soja\4632001-Comércio atacadista de cereais e leguminosas beneficiados\4661300-Comércio atacadista de máquinas, aparelhos e equipamentos para uso agropecuário, partes e peças\4672900-Comércio atacadista de ferragens e ferramentas\4681805-Comércio atacadista de lubrificantes\4685100-Comércio atacadista de produtos siderúrgicos e metalúrgicos, exceto para construção\4689399-Comércio atacadista especializado em outros produtos intermediários não especificados anteriormente\4732600-Comércio varejista de lubrificantes\4789099-Comércio varejista de outros produtos não especificados anteriormente\5250801-Comissaria de despachos\6810201-Compra e venda de imóveis próprios\6810202-Aluguel de imóveis próprios\6822600-Gestão e administração da propriedade imobiliária\</t>
  </si>
  <si>
    <t>091/0173257</t>
  </si>
  <si>
    <t>31.667.298/0001-11</t>
  </si>
  <si>
    <t>TRANSHIP TRANSPORTES MARITIMOS LTDA</t>
  </si>
  <si>
    <t>5011401</t>
  </si>
  <si>
    <t>Transporte marítimo de cabotagem - Carga</t>
  </si>
  <si>
    <t>11/9/1987</t>
  </si>
  <si>
    <t>MANUEL DUARTE</t>
  </si>
  <si>
    <t>2291</t>
  </si>
  <si>
    <t>GRADIM</t>
  </si>
  <si>
    <t>SAO GONCALO</t>
  </si>
  <si>
    <t>24430500</t>
  </si>
  <si>
    <t>999872131</t>
  </si>
  <si>
    <t>996181169</t>
  </si>
  <si>
    <t>967431924</t>
  </si>
  <si>
    <t>22424242</t>
  </si>
  <si>
    <t>LUIZ@TSTRANSHIP.COM.BR</t>
  </si>
  <si>
    <t>ANTONIOCARLOS@TSTRANSHIP.COM.BR</t>
  </si>
  <si>
    <t>PAULO@TSTRANSHIP.COM.BR</t>
  </si>
  <si>
    <t>QUATRO LUAS PARTICIPACOES LTDA</t>
  </si>
  <si>
    <t>22333611</t>
  </si>
  <si>
    <t>ELIZABETH CAPELETTI SARMENTO</t>
  </si>
  <si>
    <t>DANIEL SARMENTO ALMEIDA</t>
  </si>
  <si>
    <t>999170216</t>
  </si>
  <si>
    <t>4291000-Obras portuárias, marítimas e fluviais\4292802-Obras de montagem industrial\5012201-Transporte marítimo de longo curso - Carga\5021102-Transporte por navegação interior de carga, intermunicipal, interestadual e internacional, exceto travessia\5030103-Serviço de rebocadores e empurradores\5212500-Carga e descarga\5231102-Atividades do Operador Portuário\5250804-Organização logística do transporte de carga\5250805-Operador de transporte multimodal - OTM\6463800-Outras sociedades de participação, exceto holdings\6810202-Aluguel de imóveis próprios\7112000-Serviços de engenharia\7490102-Escafandria e mergulho\7719501-Locação de embarcações sem tripulação, exceto para finsrecreativos\7739099-Aluguel de outras máquinas e equipamentos comerciais e industriais não especificados anteriormente, sem operador\</t>
  </si>
  <si>
    <t>83.485.191</t>
  </si>
  <si>
    <t>02.286.658/0001-37</t>
  </si>
  <si>
    <t>GB TERMINAIS BRASIL S/A</t>
  </si>
  <si>
    <t>12/1/1997</t>
  </si>
  <si>
    <t>LAURO MULLER</t>
  </si>
  <si>
    <t>00116</t>
  </si>
  <si>
    <t>SAL 3106 SAL 3201 SAL 3205 SAL 3206 SAL 3207</t>
  </si>
  <si>
    <t>BOTAFOGO</t>
  </si>
  <si>
    <t>22290160</t>
  </si>
  <si>
    <t>967802788</t>
  </si>
  <si>
    <t>995276029</t>
  </si>
  <si>
    <t>981486083</t>
  </si>
  <si>
    <t>25863438</t>
  </si>
  <si>
    <t>BELLIVANES@GMAIL.COM</t>
  </si>
  <si>
    <t>ALUISIO JOSE MACEDO JUNIOR</t>
  </si>
  <si>
    <t>978454566</t>
  </si>
  <si>
    <t>5212500-Carga e descarga\5222200-Terminais rodoviários e ferroviários\5231101-Administração da infraestrutura portuária\5231103-Gestão de terminais aquaviários\5232000-Atividades de agenciamento marítimo\5250802-Atividades de despachantes aduaneiros\7739099-Aluguel de outras máquinas e equipamentos comerciais e industriais não especificados anteriormente, sem operador\</t>
  </si>
  <si>
    <t>86.319.314</t>
  </si>
  <si>
    <t>09.452.900/0001-44</t>
  </si>
  <si>
    <t>VIX TRANSPORTES DEDICADOS LTDA</t>
  </si>
  <si>
    <t>VIX TD</t>
  </si>
  <si>
    <t>2/26/2008</t>
  </si>
  <si>
    <t>MARIO GURGEL 5030</t>
  </si>
  <si>
    <t>5030</t>
  </si>
  <si>
    <t>SETOR CENTRO ADM AB SALA 105</t>
  </si>
  <si>
    <t>VILA CAPIXABA</t>
  </si>
  <si>
    <t>CARIACICA</t>
  </si>
  <si>
    <t>29145901</t>
  </si>
  <si>
    <t>21251420</t>
  </si>
  <si>
    <t>VIX LOGISTICA S/A</t>
  </si>
  <si>
    <t>21251421</t>
  </si>
  <si>
    <t>RODOLFO ALTOE FILHO</t>
  </si>
  <si>
    <t>28</t>
  </si>
  <si>
    <t>999432325</t>
  </si>
  <si>
    <t>CIRO FERREIRA DA ROCHA</t>
  </si>
  <si>
    <t>945967902</t>
  </si>
  <si>
    <t>0161001-Serviço de pulverização e controle de pragas agrícolas\0161099-Atividades de apoio à agricultura não especificadas anteriormente\0210107-Extração de madeira em florestas plantadas\0230600-Atividades de apoio à produção florestal\0899199-Extração de outros minerais não metálicos não especificados anteriormente\0910600-Atividades de apoio à extração de petróleo e gás natural\0990402-Atividades de apoio à extração de minerais metálicos não ferrosos\0990403-Atividades de apoio à extração de minerais não metálicos\2330305-Preparação de massa de concreto e argamassa para construção\3314708-Manutenção e reparação de máquinas, equipamentos e aparelhos para transporte e elevação de cargas\3600602-Distribuição de água por caminhões\3811400-Coleta de resíduos não perigosos\3812200-Coleta de resíduos perigosos\4313400-Obras de terraplenagem\4319300-Serviços de preparação do terreno não especificados anteriormente\4399101-Administração de obras\4399104-Serviços de operação e fornecimento de equipamentos para transporte e elevação de cargas e pessoas para uso em obras\4511102-Comércio a varejo de automóveis, camionetas e utilitários usados\4520001-Serviços de manutenção e reparação mecânica de veículos automotores\4520002-Serviços de lanternagem ou funilaria e pintura de veículos automotores\4520005-Serviços de lavagem, lubrificação e polimento de veículos automotores\4921301-Transporte rodoviário coletivo de passageiros, com itinerário fixo, municipal\4921302-Transporte rodoviário coletivo de passageiros, com itinerário fixo, intermunicipal em região metropolitana\4922101-Transporte rodoviário coletivo de passageiros, com itinerário fixo, intermunicipal, exceto em região metropolitana\4922102-Transporte rodoviário coletivo de passageiros, com itinerário fixo, interestadual\4922103-Transporte rodoviário coletivo de passageiros, com itinerário fixo, internacional\4923002-Serviço de transporte de passageiros - locação de automóveis com motorista\4929901-Transporte rodoviário coletivo de passageiros, sob regime de fretamento, municipal\4929902-Transporte rodoviário coletivo de passageiros, sob regime de fretamento, intermunicipal, interestadual e internacional\4929903-Organização de excursões em veículos rodoviários próprios, municipal\4929904-Organização de excursões em veículos rodoviários próprios, intermunicipal, interestadual e internacional\4929999-Outros transportes rodoviários de passageiros não especificados anteriormente\4930201-Transporte rodoviário de carga, exceto produtos perigosos e mudanças, municipal\4930203-Transporte rodoviário de produtos perigosos\5030101-Navegação de apoio marítimo\5099899-Outros transportes aquaviários não especificados anteriormente\5212500-Carga e descarga\5221400-Concessionárias de rodovias, pontes, túneis e serviços relacionados\5223100-Estacionamento de veículos\5229002-Serviços de reboque de veículos\5229099-Outras atividades auxiliares dos transportes terrestres não especificadas anteriormente\5231102-Atividades do Operador Portuário\5240101-Operação dos aeroportos e campos de aterrissagem\5240199-Atividades auxiliares dos transportes aéreos, exceto operação dos aeroportos e campos de aterrissagem\5250803-Agenciamento de cargas, exceto para o transporte marítimo\5250804-Organização logística do transporte de carga\5250805-Operador de transporte multimodal - OTM\6462000-Holdings de instituições não financeiras\6463800-Outras sociedades de participação, exceto holdings\7020400-Atividades de consultoria em gestão empresarial, exceto consultoria técnica específica\7312200-Agenciamento de espaços para publicidade, exceto em veículos de comunicação\7490104-Atividades de intermediação e agenciamento de serviços e negócios em geral, exceto imobiliários\7711000-Locação de automóveis sem condutor\7719599-Locação de outros meios de transporte não especificados anteriormente, sem condutor\7731400-Aluguel de máquinas e equipamentos agrícolas sem operador\7732201-Aluguel de máquinas e equipamentos para construção sem operador, exceto andaimes\7739099-Aluguel de outras máquinas e equipamentos comerciais e industriais não especificados anteriormente, sem operador\7820500-Locação de mão de obra temporária\7830200-Fornecimento e gestão de recursos humanos para terceiros\8111700-Serviços combinados para apoio a edifícios, exceto condomínios prediais\8121400-Limpeza em prédios e em domicílios\8122200-Imunização e controle de pragas urbanas\8129000-Atividades de limpeza não especificadas anteriormente\8130300-Atividades paisagísticas\8211300-Serviços combinados de escritório e apoio administrativo\8219999-Preparação de documentos e serviços especializados de apoio administrativo não especificados anteriormente\8299799-Outras atividades de serviços prestados principalmente às empresas não especificadas anteriormente\8621601-UTI móvel\8621602-Serviços móveis de atendimento a urgências, exceto por UTI móvel\8622400-Serviços de remoção de pacientes, exceto os serviços móveis de atendimento a urgências</t>
  </si>
  <si>
    <t>082.547.03-3</t>
  </si>
  <si>
    <t>80.276.314/0001-50</t>
  </si>
  <si>
    <t>FORTESOLO SERVICOS INTEGRADOS LTDA</t>
  </si>
  <si>
    <t>FORTESOLO</t>
  </si>
  <si>
    <t>9/23/1987</t>
  </si>
  <si>
    <t>AYRTON SENNA DA SILVA</t>
  </si>
  <si>
    <t>7520</t>
  </si>
  <si>
    <t>PARQUE SAO JOAO</t>
  </si>
  <si>
    <t>83212090</t>
  </si>
  <si>
    <t>30240041</t>
  </si>
  <si>
    <t>DAVID PEREIRA DE JESUS</t>
  </si>
  <si>
    <t>992011737</t>
  </si>
  <si>
    <t>FTS PARTICIPACOES SOCIETARIAS S.A.</t>
  </si>
  <si>
    <t>31663400</t>
  </si>
  <si>
    <t>1041400-Fabricação de óleos vegetais em bruto, exceto óleo de milho\2013402-Fabricação de adubos e fertilizantes, exceto organo-minerais\3319800-Manutenção e reparação de equipamentos e produtos não especificados anteriormente\4622200-Comércio atacadista de soja\4623103-Comércio atacadista de algodão\4623106-Comércio atacadista de sementes, flores, plantas e gramas\4623199-Comércio atacadista de matérias-primas agrícolas não especificadas anteriormente\4637103-Comércio atacadista de óleos e gorduras\4683400-Comércio atacadista de defensivos agrícolas, adubos, fertilizantes e corretivos do solo\5099899-Outros transportes aquaviários não especificados anteriormente\5212500-Carga e descarga\5223100-Estacionamento de veículos\5231102-Atividades do Operador Portuário\5250802-Atividades de despachantes aduaneiros\5250803-Agenciamento de cargas, exceto para o transporte marítimo\6810202-Aluguel de imóveis próprios\7739099-Aluguel de outras máquinas e equipamentos comerciais e industriais não especificados anteriormente, sem operador\8292000-Envasamento e empacotamento sob contrato</t>
  </si>
  <si>
    <t>90175503-54</t>
  </si>
  <si>
    <t>06.975.242/0001-87</t>
  </si>
  <si>
    <t>LOG FRIO LOGISTICA LTDA.</t>
  </si>
  <si>
    <t>LOG FRIO LOGISTICA</t>
  </si>
  <si>
    <t>8/11/2004</t>
  </si>
  <si>
    <t>1635</t>
  </si>
  <si>
    <t>SALA L CAMARA 1</t>
  </si>
  <si>
    <t>6465070</t>
  </si>
  <si>
    <t>940125791</t>
  </si>
  <si>
    <t>941107193</t>
  </si>
  <si>
    <t>975621200</t>
  </si>
  <si>
    <t>21757107</t>
  </si>
  <si>
    <t>CONTABILIDADE@LOGFRIO.COM.BR</t>
  </si>
  <si>
    <t>MAURO@LOGFRIO.COM.BR</t>
  </si>
  <si>
    <t>FERREIRA@LOGFRIO.COM.BR</t>
  </si>
  <si>
    <t>SUPERFRIO ARMAZENS GERAIS S.A.</t>
  </si>
  <si>
    <t>39021900</t>
  </si>
  <si>
    <t>CAMILA SCAPIM ARCARO</t>
  </si>
  <si>
    <t>992757408</t>
  </si>
  <si>
    <t>FRANCISCO CARLOS BORGES DE ASSIS MOURA</t>
  </si>
  <si>
    <t>991297907</t>
  </si>
  <si>
    <t>4930202-Transporte rodoviário de carga, exceto produtos perigosos e mudanças, intermunicipal, interestadual e internacional\5211799-Depósitos de mercadorias para terceiros, exceto armazéns gerais e guarda-móveis\5212500-Carga e descarga\</t>
  </si>
  <si>
    <t>206.229.961.113</t>
  </si>
  <si>
    <t>29.355.260/0001-61</t>
  </si>
  <si>
    <t>TRIUNFO LOGISTICA LTDA</t>
  </si>
  <si>
    <t>TRILOG</t>
  </si>
  <si>
    <t>4/30/1985</t>
  </si>
  <si>
    <t>CIDADE LIMA</t>
  </si>
  <si>
    <t>00086</t>
  </si>
  <si>
    <t>SAL 201 SAL 202</t>
  </si>
  <si>
    <t>SANTO CRISTO</t>
  </si>
  <si>
    <t>20220710</t>
  </si>
  <si>
    <t>970261965</t>
  </si>
  <si>
    <t>972247348</t>
  </si>
  <si>
    <t>997691639</t>
  </si>
  <si>
    <t>21788800</t>
  </si>
  <si>
    <t>COMUNICACAO@TRIUNFOLOGISTICA.COM.BR</t>
  </si>
  <si>
    <t>THIAGO.RODRIGUES@TRIUNFOLOGISTICA.COM.BR</t>
  </si>
  <si>
    <t>ALEXANDRE.LIMA@TRIUNFOLOGISTICA.COM.BR</t>
  </si>
  <si>
    <t>MARIA AMELIA FRANCO BASTOS</t>
  </si>
  <si>
    <t>998450622</t>
  </si>
  <si>
    <t>TATIANA RODRIGUES DO NASCIMENTO VIEIRA</t>
  </si>
  <si>
    <t>997727088</t>
  </si>
  <si>
    <t>MARCOS ALEXANDRE DA SILVA</t>
  </si>
  <si>
    <t>999962502</t>
  </si>
  <si>
    <t>5211701-Armazéns gerais - emissão de warrant\7739099-Aluguel de outras máquinas e equipamentos comerciais e industriais não especificados anteriormente, sem operador</t>
  </si>
  <si>
    <t>83.969.768</t>
  </si>
  <si>
    <t>73.325.722/0001-90</t>
  </si>
  <si>
    <t>DAGNESE &amp; CIA LTDA</t>
  </si>
  <si>
    <t>DAGNESE SOLUCOES METALICAS</t>
  </si>
  <si>
    <t>9/9/1993</t>
  </si>
  <si>
    <t>RS 324</t>
  </si>
  <si>
    <t>485</t>
  </si>
  <si>
    <t>KM 17</t>
  </si>
  <si>
    <t>NOVA BASSANO</t>
  </si>
  <si>
    <t>95340000</t>
  </si>
  <si>
    <t>999409085</t>
  </si>
  <si>
    <t>996378378</t>
  </si>
  <si>
    <t>999185929</t>
  </si>
  <si>
    <t>32733000</t>
  </si>
  <si>
    <t>OTAVIO@DAGNESE.COM.BR</t>
  </si>
  <si>
    <t>JULIO@DAGNESE.COM.BR</t>
  </si>
  <si>
    <t>VITOR@DAGNESE.COM.BR</t>
  </si>
  <si>
    <t>ROMANO MARTINI</t>
  </si>
  <si>
    <t>991050911</t>
  </si>
  <si>
    <t>LUIS CLAUDIO DAGNESE</t>
  </si>
  <si>
    <t>994940606</t>
  </si>
  <si>
    <t>2512800-Fabricação de esquadrias de metal\2539001-Serviços de usinagem, torneiria e solda\3329599-Instalação de outros equipamentos não especificados anteriormente\4292801-Montagem de estruturas metálicas\4619200-Representantes comerciais e agentes do comércio de mercadorias em geral não especializado\4679604-Comércio atacadista especializado de materiais de construção não especificados anteriormente\6810202-Aluguel de imóveis próprios\7112000-Serviços de engenharia\7732201-Aluguel de máquinas e equipamentos para construção sem operador, exceto andaimes\</t>
  </si>
  <si>
    <t>207/0004966</t>
  </si>
  <si>
    <t>82.134.073/0001-30</t>
  </si>
  <si>
    <t>MORGANA ALIMENTOS LTDA</t>
  </si>
  <si>
    <t>8/8/1990</t>
  </si>
  <si>
    <t>OSNI KUHNEN</t>
  </si>
  <si>
    <t>540</t>
  </si>
  <si>
    <t>ALTO ARIRIU</t>
  </si>
  <si>
    <t>PALHOCA</t>
  </si>
  <si>
    <t>88135609</t>
  </si>
  <si>
    <t>996870511</t>
  </si>
  <si>
    <t>991117427</t>
  </si>
  <si>
    <t>991575052</t>
  </si>
  <si>
    <t>33421008</t>
  </si>
  <si>
    <t>AMANDA@FRANGOSMORGANA.COM.BR</t>
  </si>
  <si>
    <t>LAYS@FRANGOSMORGANA.COM.BR</t>
  </si>
  <si>
    <t>DEISIANE@FRANGOSMORGANA.COM.BR</t>
  </si>
  <si>
    <t>MARCOS JOSE DA SILVA</t>
  </si>
  <si>
    <t>996324333</t>
  </si>
  <si>
    <t>BRUNO SILVA MARTINS DA SILVA</t>
  </si>
  <si>
    <t>999959659</t>
  </si>
  <si>
    <t>AMANDA DUARTE BARRETO</t>
  </si>
  <si>
    <t>999624112</t>
  </si>
  <si>
    <t>0151201-Criação de bovinos para corte\0154700-Criação de suínos\0155501-Criação de frangos para corte\0155502-Produção de pintos de um dia\0155505-Produção de ovos\1011201-Frigorífico - abate de bovinos\1012103-Frigorífico - abate de suínos\1066000-Fabricação de alimentos para animais\4623106-Comércio atacadista de sementes, flores, plantas e gramas\4623108-Comércio atacadista de matérias-primas agrícolas com atividade de fracionamento e acondicionamento associada\4632001-Comércio atacadista de cereais e leguminosas beneficiados\4683400-Comércio atacadista de defensivos agrícolas, adubos, fertilizantes e corretivos do solo\4712100-Comércio varejista de mercadorias em geral, com predominância de produtos alimentícios - minimercados, mercearias e armazéns\4722901-Comércio varejista de carnes - açougues\4729699-Comércio varejista de produtos alimentícios em geral ou especializado em produtos alimentícios não especificados anteriormente\5211799-Depósitos de mercadorias para terceiros, exceto armazéns gerais e guarda-móveis</t>
  </si>
  <si>
    <t>252090799</t>
  </si>
  <si>
    <t>07.063.949/0001-80</t>
  </si>
  <si>
    <t>BARBIERI TRANSPORTES S/A</t>
  </si>
  <si>
    <t>10/18/2004</t>
  </si>
  <si>
    <t>OSLO</t>
  </si>
  <si>
    <t>111-D</t>
  </si>
  <si>
    <t>PASSO DOS FORTES</t>
  </si>
  <si>
    <t>CHAPECO</t>
  </si>
  <si>
    <t>89805110</t>
  </si>
  <si>
    <t>999780233</t>
  </si>
  <si>
    <t>999681617</t>
  </si>
  <si>
    <t>33214704</t>
  </si>
  <si>
    <t>FISCAL@BLUETRANSPORTES.COM.BR</t>
  </si>
  <si>
    <t>MARCOS ANTONIO BARBIERI</t>
  </si>
  <si>
    <t>999876043</t>
  </si>
  <si>
    <t>ROVER JUNIOR SABADINI</t>
  </si>
  <si>
    <t>999686642</t>
  </si>
  <si>
    <t>4930202-Transporte rodoviário de carga, exceto produtos perigosos e mudanças, intermunicipal, interestadual e internacional\5211799-Depósitos de mercadorias para terceiros, exceto armazéns gerais e guarda-móveis\6463800-Outras sociedades de participação, exceto holdings\7719599-Locação de outros meios de transporte não especificados anteriormente, sem condutor</t>
  </si>
  <si>
    <t>254871364</t>
  </si>
  <si>
    <t>47.598.719/0001-30</t>
  </si>
  <si>
    <t>NAPPI INDUSTRIA DE METAIS LTDA</t>
  </si>
  <si>
    <t>11/13/1981</t>
  </si>
  <si>
    <t>WASHINGTON LUIZ SN</t>
  </si>
  <si>
    <t>KM 378</t>
  </si>
  <si>
    <t>FAZ BOA ESPERANCA</t>
  </si>
  <si>
    <t>PINDORAMA</t>
  </si>
  <si>
    <t>15830000</t>
  </si>
  <si>
    <t>996278160</t>
  </si>
  <si>
    <t>997262519</t>
  </si>
  <si>
    <t>FISCAL@NAPPIMETAIS.COM</t>
  </si>
  <si>
    <t>REGINALDO@JNAPPI.COM.BR</t>
  </si>
  <si>
    <t>REGINALDO CLEBERTY NAPPI</t>
  </si>
  <si>
    <t>2949299-Fabricação de outras peças e acessórios para veículos automotores não especificadas anteriormente\</t>
  </si>
  <si>
    <t>529.004.852.113</t>
  </si>
  <si>
    <t>10.576.351/0001-07</t>
  </si>
  <si>
    <t>DIX LOGISTICA S/A FALIDO</t>
  </si>
  <si>
    <t>DIX LOGISTICA</t>
  </si>
  <si>
    <t>RISCO MUITO ALTO</t>
  </si>
  <si>
    <t>1/13/2009</t>
  </si>
  <si>
    <t>NEO ALVES MARTINS</t>
  </si>
  <si>
    <t>1334</t>
  </si>
  <si>
    <t>ANDAR 4 SALA 042 EDIF EXECUTIVE CENTER</t>
  </si>
  <si>
    <t>ZONA 03</t>
  </si>
  <si>
    <t>MARINGA</t>
  </si>
  <si>
    <t>87050110</t>
  </si>
  <si>
    <t>999045818</t>
  </si>
  <si>
    <t>991020202</t>
  </si>
  <si>
    <t>991653591</t>
  </si>
  <si>
    <t>33540698</t>
  </si>
  <si>
    <t>GERENCIA@DIXLOGISTICA.COM.BR</t>
  </si>
  <si>
    <t>DIOJANES@DIXLOGISTICA.COM.BR</t>
  </si>
  <si>
    <t>DIOJANES VIEIRA DA ANUNCIACAO</t>
  </si>
  <si>
    <t>ANA ELISSA LOPES GARCIA DA ANUNCIACAO</t>
  </si>
  <si>
    <t>991440131</t>
  </si>
  <si>
    <t>4930201-Transporte rodoviário de carga, exceto produtos perigosos e mudanças, municipal\5250804-Organização logística do transporte de carga\7719599-Locação de outros meios de transporte não especificados anteriormente, sem condutor\</t>
  </si>
  <si>
    <t>90610625-61</t>
  </si>
  <si>
    <t>36.376.804/0001-37</t>
  </si>
  <si>
    <t>ARMANI TRANSPORTES S/A</t>
  </si>
  <si>
    <t>8/13/1991</t>
  </si>
  <si>
    <t>BR 101 SN</t>
  </si>
  <si>
    <t>TOCAIA</t>
  </si>
  <si>
    <t>ICONHA</t>
  </si>
  <si>
    <t>29280000</t>
  </si>
  <si>
    <t>999747360</t>
  </si>
  <si>
    <t>35371103</t>
  </si>
  <si>
    <t>FISCAL@ARMANITRANSPORTE.COM.BR</t>
  </si>
  <si>
    <t>EDUARDO@ARMANITRANSPORTE.COM.BR</t>
  </si>
  <si>
    <t>PAULO@ARMANITRANSPORTE.COM.BR</t>
  </si>
  <si>
    <t>FERNANDO ARMANI</t>
  </si>
  <si>
    <t>981118118</t>
  </si>
  <si>
    <t>PAULO ARMANI</t>
  </si>
  <si>
    <t>999054344</t>
  </si>
  <si>
    <t>4520001-Serviços de manutenção e reparação mecânica de veículos automotores\4930201-Transporte rodoviário de carga, exceto produtos perigosos e mudanças, municipal\4930203-Transporte rodoviário de produtos perigosos\5211799-Depósitos de mercadorias para terceiros, exceto armazéns gerais e guarda-móveis\5250804-Organização logística do transporte de carga\</t>
  </si>
  <si>
    <t>081.489.70-6</t>
  </si>
  <si>
    <t>09.329.143/0001-16</t>
  </si>
  <si>
    <t>ON TIME EXPRESS LOGISTICA E TRANSPORTES S.A.</t>
  </si>
  <si>
    <t>11/16/2007</t>
  </si>
  <si>
    <t>MADEIRA</t>
  </si>
  <si>
    <t>162</t>
  </si>
  <si>
    <t>SALA 803</t>
  </si>
  <si>
    <t>ALPHAVILLE CENTRO INDUSTRIAL E EMPRESARIAL/ALPHAVILLE.</t>
  </si>
  <si>
    <t>6454010</t>
  </si>
  <si>
    <t>963772806</t>
  </si>
  <si>
    <t>973634167</t>
  </si>
  <si>
    <t>940226845</t>
  </si>
  <si>
    <t>41932703</t>
  </si>
  <si>
    <t>PORTARIAFISCAL@ONTIMELOGISTICA.COM.BR</t>
  </si>
  <si>
    <t>RECEPCAO01@ONTIMELOGISTICA.COM.BR</t>
  </si>
  <si>
    <t>CONTROLADORIA01@ONTIMELOGISTICA.COM.BR</t>
  </si>
  <si>
    <t>SERGIO MIOZZO ZUFFO</t>
  </si>
  <si>
    <t>981961102</t>
  </si>
  <si>
    <t>ANTONIO LUIZ CODESPOTI TEIXEIRA DE FREITAS</t>
  </si>
  <si>
    <t>999681670</t>
  </si>
  <si>
    <t>4930201-Transporte rodoviário de carga, exceto produtos perigosos e mudanças, municipal\5250803-Agenciamento de cargas, exceto para o transporte marítimo\5320201-Serviços de malote não realizados pelo Correio Nacional\5320202-Serviços de entrega rápida</t>
  </si>
  <si>
    <t>373.070.010.119</t>
  </si>
  <si>
    <t>78.881.414/0001-64</t>
  </si>
  <si>
    <t>TRANSPORTES NATAL LTDA</t>
  </si>
  <si>
    <t>8/13/1985</t>
  </si>
  <si>
    <t>LUIZ LAZZARIN</t>
  </si>
  <si>
    <t>260</t>
  </si>
  <si>
    <t>RIO MARIA</t>
  </si>
  <si>
    <t>VILA FLORESTA II</t>
  </si>
  <si>
    <t>CRICIUMA</t>
  </si>
  <si>
    <t>88817045</t>
  </si>
  <si>
    <t>991016864</t>
  </si>
  <si>
    <t>991133956</t>
  </si>
  <si>
    <t>991262526</t>
  </si>
  <si>
    <t>34310600</t>
  </si>
  <si>
    <t>DOCUMENTACAO1@TRANSNATAL.COM.BR</t>
  </si>
  <si>
    <t>T.NATAL@TERRA.COM.BR</t>
  </si>
  <si>
    <t>CELIO RENALDO NATAL</t>
  </si>
  <si>
    <t>999781741</t>
  </si>
  <si>
    <t>LEVATE HOLDING LTDA</t>
  </si>
  <si>
    <t>30478150</t>
  </si>
  <si>
    <t>4511104-Comércio por atacado de caminhões novos e usados\4930201-Transporte rodoviário de carga, exceto produtos perigosos e mudanças, municipal\5211701-Armazéns gerais - emissão de warrant\5212500-Carga e descarga</t>
  </si>
  <si>
    <t>251876950</t>
  </si>
  <si>
    <t>00.148.025/0002-18</t>
  </si>
  <si>
    <t>LATASA INDUSTRIA E COMERCIO LTDA.</t>
  </si>
  <si>
    <t>12/5/1996</t>
  </si>
  <si>
    <t>JULIO DE PAULA CLARO</t>
  </si>
  <si>
    <t>900</t>
  </si>
  <si>
    <t>FEITAL</t>
  </si>
  <si>
    <t>PINDAMONHANGABA</t>
  </si>
  <si>
    <t>12441400</t>
  </si>
  <si>
    <t>991111756</t>
  </si>
  <si>
    <t>991111776</t>
  </si>
  <si>
    <t>22221085</t>
  </si>
  <si>
    <t>FISCAL@GRUPORECICLABR.COM.BR</t>
  </si>
  <si>
    <t>JOSE ROBERTO MARTINEZ DO CANTO</t>
  </si>
  <si>
    <t>999006196</t>
  </si>
  <si>
    <t>RECICLA BR S.A.</t>
  </si>
  <si>
    <t>JRC - CONSULTORIA, ASSESSORIA E PARTICIPACOES LTDA</t>
  </si>
  <si>
    <t>29090229</t>
  </si>
  <si>
    <t>2441501-Produção de alumínio e suas ligas em formas primárias\3831901-Recuperação de sucatas de alumínio\3831999-Recuperação de materiais metálicos, exceto alumínio\</t>
  </si>
  <si>
    <t>528.054.280.114</t>
  </si>
  <si>
    <t>70.992.359/0001-78</t>
  </si>
  <si>
    <t>FRIDEL FRIGORIFICO INDUSTRIAL DEL REY LTDA</t>
  </si>
  <si>
    <t>4/2/1993</t>
  </si>
  <si>
    <t>DOUTOR ANTONIO CHAGAS DINIZ</t>
  </si>
  <si>
    <t>555</t>
  </si>
  <si>
    <t>C SALA 02</t>
  </si>
  <si>
    <t>CONTAGEM</t>
  </si>
  <si>
    <t>32210160</t>
  </si>
  <si>
    <t>21298500</t>
  </si>
  <si>
    <t>FISCAL@FRIDEL.COM.BR</t>
  </si>
  <si>
    <t>FRICON PARTICIPACOES LTDA</t>
  </si>
  <si>
    <t>33634611</t>
  </si>
  <si>
    <t>ROBERTO FERRI AMARAL</t>
  </si>
  <si>
    <t>984182828</t>
  </si>
  <si>
    <t>EDUARDO FERRI AMARAL</t>
  </si>
  <si>
    <t>999495523</t>
  </si>
  <si>
    <t>1013901-Fabricação de produtos de carne\1013902-Preparação de subprodutos do abate</t>
  </si>
  <si>
    <t>186833511.00-53</t>
  </si>
  <si>
    <t>01.344.733/0001-06</t>
  </si>
  <si>
    <t>EXPRESSO RENOVACAO LTDA</t>
  </si>
  <si>
    <t>RENOVACAO LOGISTICA</t>
  </si>
  <si>
    <t>8/1/1996</t>
  </si>
  <si>
    <t>RUA SANGA FUNDA PORTAO</t>
  </si>
  <si>
    <t>86</t>
  </si>
  <si>
    <t>CONDOMINIO LOGISTICO ACORIANOS UNIDADE 20</t>
  </si>
  <si>
    <t>FLORESTA</t>
  </si>
  <si>
    <t>NOVA SANTA RITA</t>
  </si>
  <si>
    <t>92480000</t>
  </si>
  <si>
    <t>997978913</t>
  </si>
  <si>
    <t>992381879</t>
  </si>
  <si>
    <t>992474986</t>
  </si>
  <si>
    <t>30329500</t>
  </si>
  <si>
    <t>CONTABILIDADE@RENOVACAOLOGISTICA.COM.BR</t>
  </si>
  <si>
    <t>ADEMIR.MOURA@RENOVACAOLOGISTICA.COM.BR</t>
  </si>
  <si>
    <t>ALEX@RENOVACAOLOGISTICA.COM.BR</t>
  </si>
  <si>
    <t>ADEMIR JOSE DE MOURA</t>
  </si>
  <si>
    <t>992457154</t>
  </si>
  <si>
    <t>4930201-Transporte rodoviário de carga, exceto produtos perigosos e mudanças, municipal\5211701-Armazéns gerais - emissão de warrant\5211799-Depósitos de mercadorias para terceiros, exceto armazéns gerais e guarda-móveis\5240199-Atividades auxiliares dos transportes aéreos, exceto operação dos aeroportos e campos de aterrissagem\6810202-Aluguel de imóveis próprios\7719599-Locação de outros meios de transporte não especificados anteriormente, sem condutor</t>
  </si>
  <si>
    <t>382/0022548</t>
  </si>
  <si>
    <t>76.513.324/0001-95</t>
  </si>
  <si>
    <t>FRIGORIFICO BIZINELLI LTDA</t>
  </si>
  <si>
    <t>8/28/1966</t>
  </si>
  <si>
    <t>MARIA BIZINELLI</t>
  </si>
  <si>
    <t>530</t>
  </si>
  <si>
    <t>CAMPO COMPRIDO</t>
  </si>
  <si>
    <t>81210154</t>
  </si>
  <si>
    <t>991298811</t>
  </si>
  <si>
    <t>992064479</t>
  </si>
  <si>
    <t>991673904</t>
  </si>
  <si>
    <t>32743838</t>
  </si>
  <si>
    <t>ANGELOBIZINELLI@ONDA.COM.BR</t>
  </si>
  <si>
    <t>LUIZ ROBERTO BIZINELLI</t>
  </si>
  <si>
    <t>SERGIO LUIZ BIZINELLI</t>
  </si>
  <si>
    <t>996893516</t>
  </si>
  <si>
    <t>PAULA BAGGIO BIZINELLI</t>
  </si>
  <si>
    <t>999884195</t>
  </si>
  <si>
    <t>1012103-Frigorífico - abate de suínos\4634601-Comércio atacadista de carnes bovinas e suínas e derivados\4721103-Comércio varejista de laticínios e frios\4722901-Comércio varejista de carnes - açougues\4723700-Comércio varejista de bebidas\4930201-Transporte rodoviário de carga, exceto produtos perigosos e mudanças, municipal\4930202-Transporte rodoviário de carga, exceto produtos perigosos e mudanças, intermunicipal, interestadual e internacional\</t>
  </si>
  <si>
    <t>10108955-09</t>
  </si>
  <si>
    <t>14.290.696/0001-42</t>
  </si>
  <si>
    <t>FRISACRE FRIGORIFICO SANTO AFONSO DO ACRE LTDA</t>
  </si>
  <si>
    <t>FRISACRE</t>
  </si>
  <si>
    <t>11/14/1986</t>
  </si>
  <si>
    <t>BR-364</t>
  </si>
  <si>
    <t>KM 10</t>
  </si>
  <si>
    <t>BELO JARDIM II</t>
  </si>
  <si>
    <t>RIO BRANCO</t>
  </si>
  <si>
    <t>69908080</t>
  </si>
  <si>
    <t>68</t>
  </si>
  <si>
    <t>999020958</t>
  </si>
  <si>
    <t>21067358</t>
  </si>
  <si>
    <t>JOAO GUILHERME YOSHIMATSU FELIX PEREIRA</t>
  </si>
  <si>
    <t>14</t>
  </si>
  <si>
    <t>981566477</t>
  </si>
  <si>
    <t>MURILO LEITE</t>
  </si>
  <si>
    <t>999851228</t>
  </si>
  <si>
    <t>ANA MARIA BRONCA FERREIRA PINTO</t>
  </si>
  <si>
    <t>999850080</t>
  </si>
  <si>
    <t>0151201-Criação de bovinos para corte\1013901-Fabricação de produtos de carne\1013902-Preparação de subprodutos do abate\4623102-Comércio atacadista de couros, lãs, peles e outros subprodutos não comestíveis de origem animal\4634601-Comércio atacadista de carnes bovinas e suínas e derivados\4722901-Comércio varejista de carnes - açougues</t>
  </si>
  <si>
    <t>01.000.221/001-87</t>
  </si>
  <si>
    <t>14.781.303/0001-01</t>
  </si>
  <si>
    <t>NAVEMESTRA SERVICOS DE NAVEGACAO LTDA.</t>
  </si>
  <si>
    <t>12/19/2011</t>
  </si>
  <si>
    <t>SAL 2605</t>
  </si>
  <si>
    <t>971657016</t>
  </si>
  <si>
    <t>998286738</t>
  </si>
  <si>
    <t>967017806</t>
  </si>
  <si>
    <t>21382214</t>
  </si>
  <si>
    <t>CONTATO@BRAVANTE.COM.BR</t>
  </si>
  <si>
    <t>ROBERTA.RODRIGUES@BRAVANTE.COM.BR</t>
  </si>
  <si>
    <t>MARCOS.COSTA@SMIGUEL.COM.BR</t>
  </si>
  <si>
    <t>MARCELINO JOSE LOBATO NASCIMENTO</t>
  </si>
  <si>
    <t>993829287</t>
  </si>
  <si>
    <t>BRASBUNKER PARTICIPACOES S/A</t>
  </si>
  <si>
    <t>30327543</t>
  </si>
  <si>
    <t>3317101-Manutenção e reparação de embarcações e estruturas flutuantes\3319800-Manutenção e reparação de equipamentos e produtos não especificados anteriormente\3600601-Captação, tratamento e distribuição de água\3822000-Tratamento e disposição de resíduos perigosos\3900500-Descontaminação e outros serviços de gestão de resíduos\5011401-Transporte marítimo de cabotagem - Carga\5030103-Serviço de rebocadores e empurradores\5231103-Gestão de terminais aquaviários\6462000-Holdings de instituições não financeiras\7020400-Atividades de consultoria em gestão empresarial, exceto consultoria técnica específica\7490199-Outras atividades profissionais, científicas e técnicas não especificadas anteriormente\</t>
  </si>
  <si>
    <t>86.735.423</t>
  </si>
  <si>
    <t>96.754.734/0001-35</t>
  </si>
  <si>
    <t>UNIDAO TRANSPORTES E LOGISTICA LTDA</t>
  </si>
  <si>
    <t>5/2/1969</t>
  </si>
  <si>
    <t>1150</t>
  </si>
  <si>
    <t>CASA</t>
  </si>
  <si>
    <t>SCHARLAU</t>
  </si>
  <si>
    <t>SAO LEOPOLDO</t>
  </si>
  <si>
    <t>93120030</t>
  </si>
  <si>
    <t>999989599</t>
  </si>
  <si>
    <t>942634438</t>
  </si>
  <si>
    <t>932460518</t>
  </si>
  <si>
    <t>21185600</t>
  </si>
  <si>
    <t>FISCAL@UNIDAO.COM</t>
  </si>
  <si>
    <t>FERNANDO@UNIDAO.COM</t>
  </si>
  <si>
    <t>ARIEGI@UNIDAO.COM</t>
  </si>
  <si>
    <t>ARCYLDA VERONA DE CESARO PARTICIPACOES SOCIETARIAS LTDA.</t>
  </si>
  <si>
    <t>996993730</t>
  </si>
  <si>
    <t>ELIANE DE CESARO LORENZ</t>
  </si>
  <si>
    <t>999739130</t>
  </si>
  <si>
    <t>ADEMIR ANTONIO DORNELLES</t>
  </si>
  <si>
    <t>4686902-Comércio atacadista de embalagens\4729602-Comércio varejista de mercadorias em lojas de conveniência\4731800-Comércio varejista de combustíveis para veículos automotores\4732600-Comércio varejista de lubrificantes\4789099-Comércio varejista de outros produtos não especificados anteriormente\4930201-Transporte rodoviário de carga, exceto produtos perigosos e mudanças, municipal\4930203-Transporte rodoviário de produtos perigosos\5211701-Armazéns gerais - emissão de warrant\5212500-Carga e descarga\5250803-Agenciamento de cargas, exceto para o transporte marítimo</t>
  </si>
  <si>
    <t>124/0036784</t>
  </si>
  <si>
    <t>53.237.962/0001-25</t>
  </si>
  <si>
    <t>EMPRESA DE TRANSPORTES PAJUCARA LTDA</t>
  </si>
  <si>
    <t>2/10/1984</t>
  </si>
  <si>
    <t>PASCHOAL THOMEU</t>
  </si>
  <si>
    <t>1.141</t>
  </si>
  <si>
    <t>GALPAOMODULOS 14 15 24E25</t>
  </si>
  <si>
    <t>VILA NOVA BONSUCESSO</t>
  </si>
  <si>
    <t>7175090</t>
  </si>
  <si>
    <t>995146414</t>
  </si>
  <si>
    <t>996374952</t>
  </si>
  <si>
    <t>998466493</t>
  </si>
  <si>
    <t>35856900</t>
  </si>
  <si>
    <t>COMPRAS@PAJUNET.COM.BR</t>
  </si>
  <si>
    <t>PAULO.SANTOS@PAJUNET.COM.BR</t>
  </si>
  <si>
    <t>RODRIGO.BIANCK@PAJUNET.COM.BR</t>
  </si>
  <si>
    <t>ALTAMIR FILADELFI CABRAL</t>
  </si>
  <si>
    <t>983240997</t>
  </si>
  <si>
    <t>CBR MOOCA PARTICIPACOES LTDA</t>
  </si>
  <si>
    <t>33856900</t>
  </si>
  <si>
    <t>TERENA PARTICIPACOES LTDA</t>
  </si>
  <si>
    <t>4930201-Transporte rodoviário de carga, exceto produtos perigosos e mudanças, municipal\4930203-Transporte rodoviário de produtos perigosos\5211799-Depósitos de mercadorias para terceiros, exceto armazéns gerais e guarda-móveis\5212500-Carga e descarga\8219999-Preparação de documentos e serviços especializados de apoio administrativo não especificados anteriormente\</t>
  </si>
  <si>
    <t>336.302.826.115</t>
  </si>
  <si>
    <t>49.363.468/0001-30</t>
  </si>
  <si>
    <t>REFRIO ARMAZENS GERAIS LTDA.</t>
  </si>
  <si>
    <t>REFRIO</t>
  </si>
  <si>
    <t>9/22/1977</t>
  </si>
  <si>
    <t>REGIS BITTENCOURT</t>
  </si>
  <si>
    <t>KM 293 5 SALA 03</t>
  </si>
  <si>
    <t>POTUVERA</t>
  </si>
  <si>
    <t>ITAPECERICA DA SERRA</t>
  </si>
  <si>
    <t>6882700</t>
  </si>
  <si>
    <t>973295483</t>
  </si>
  <si>
    <t>970944072</t>
  </si>
  <si>
    <t>944918912</t>
  </si>
  <si>
    <t>47858555</t>
  </si>
  <si>
    <t>JORGE@REFRIO.COM.BR</t>
  </si>
  <si>
    <t>T.SOARES@REFRIO.COM.BR</t>
  </si>
  <si>
    <t>REFRIO PARTICIPACOES E SERVICOS LTDA.</t>
  </si>
  <si>
    <t>46663122</t>
  </si>
  <si>
    <t>DANFLARE PARTICIPACOES LTDA</t>
  </si>
  <si>
    <t>REINALDO ANTONIO NAHAS FILHO</t>
  </si>
  <si>
    <t>998452530</t>
  </si>
  <si>
    <t>4930201-Transporte rodoviário de carga, exceto produtos perigosos e mudanças, municipal\4930202-Transporte rodoviário de carga, exceto produtos perigosos e mudanças, intermunicipal, interestadual e internacional\5212500-Carga e descarga\5229099-Outras atividades auxiliares dos transportes terrestres não especificadas anteriormente\5250803-Agenciamento de cargas, exceto para o transporte marítimo\5250804-Organização logística do transporte de carga\7020400-Atividades de consultoria em gestão empresarial, exceto consultoria técnica específica\</t>
  </si>
  <si>
    <t>370.051.229.111</t>
  </si>
  <si>
    <t>13.177.019/0001-50</t>
  </si>
  <si>
    <t>NUTRIAL AGROINDUSTRIAS REUNIDAS S/A</t>
  </si>
  <si>
    <t>NUTRIAL</t>
  </si>
  <si>
    <t>VEREADOR JOAO CALAZANS</t>
  </si>
  <si>
    <t>317</t>
  </si>
  <si>
    <t>TREZE DE JULHO</t>
  </si>
  <si>
    <t>ARACAJU</t>
  </si>
  <si>
    <t>49020030</t>
  </si>
  <si>
    <t>79</t>
  </si>
  <si>
    <t>33221878</t>
  </si>
  <si>
    <t>NUTRIAL@BOL.COM.BR</t>
  </si>
  <si>
    <t>JA@FRIGONUTRIAL.COM.BR</t>
  </si>
  <si>
    <t>PATRICIA@FRIGONUTRIAL.COM.BR</t>
  </si>
  <si>
    <t>JOAO VICTOR DE MELO BAIA</t>
  </si>
  <si>
    <t>82</t>
  </si>
  <si>
    <t>981457271</t>
  </si>
  <si>
    <t>ADRYANA CAVALCANTE DA SILVA SANTANA</t>
  </si>
  <si>
    <t>999193595</t>
  </si>
  <si>
    <t>ERIVAN RODRIGUES DE SANTANA</t>
  </si>
  <si>
    <t>981570110</t>
  </si>
  <si>
    <t>1011203-Frigorífico - abate de ovinos e caprinos\1012101-Abate de aves\1012102-Abate de pequenos animais\1012103-Frigorífico - abate de suínos\1013901-Fabricação de produtos de carne\1013902-Preparação de subprodutos do abate</t>
  </si>
  <si>
    <t>27.056.543-4</t>
  </si>
  <si>
    <t>Carteira de Prospects — Vendedor 3</t>
  </si>
  <si>
    <t>87.546.636/0001-11</t>
  </si>
  <si>
    <t>FARINA S.A. COMPONENTES AUTOMOTIVOS</t>
  </si>
  <si>
    <t>8/4/1966</t>
  </si>
  <si>
    <t>CAVALHEIRO JOSE FARINA</t>
  </si>
  <si>
    <t>SAO FRANCISCO</t>
  </si>
  <si>
    <t>BENTO GONCALVES</t>
  </si>
  <si>
    <t>95703006</t>
  </si>
  <si>
    <t>992684839</t>
  </si>
  <si>
    <t>991564102</t>
  </si>
  <si>
    <t>991860472</t>
  </si>
  <si>
    <t>21028600</t>
  </si>
  <si>
    <t>CONTABILIDADE@FARINA.COM.BR</t>
  </si>
  <si>
    <t>DENISE@FARINA.COM.BR</t>
  </si>
  <si>
    <t>ANDRE DREHER GIOVANNINI</t>
  </si>
  <si>
    <t>996876168</t>
  </si>
  <si>
    <t>ERNY DREHER ANTINOLFI</t>
  </si>
  <si>
    <t>991121820</t>
  </si>
  <si>
    <t>2539001-Serviços de usinagem, torneiria e solda\2869100-Fabricação de máquinas e equipamentos para uso industrial específico não especificados anteriormente, peças e acessórios\2943300-Fabricação de peças e acessórios para o sistema de freios de veículos automotores\3314799-Manutenção e reparação de outras máquinas e equipamentos para usos industriais não especificados anteriormente\3511501-Geração de energia elétrica\</t>
  </si>
  <si>
    <t>010/0000770</t>
  </si>
  <si>
    <t>59.275.289/0001-02</t>
  </si>
  <si>
    <t>TRANSPORTADORA TURISTICA BENFICA SA EM RECUPERACAO JUDICIAL</t>
  </si>
  <si>
    <t>BENFICA</t>
  </si>
  <si>
    <t>8/1/1966</t>
  </si>
  <si>
    <t>ARAGUAIA</t>
  </si>
  <si>
    <t>381</t>
  </si>
  <si>
    <t>SANTA MARIA</t>
  </si>
  <si>
    <t>SAO CAETANO DO SUL</t>
  </si>
  <si>
    <t>9560580</t>
  </si>
  <si>
    <t>996684497</t>
  </si>
  <si>
    <t>997511461</t>
  </si>
  <si>
    <t>974228652</t>
  </si>
  <si>
    <t>22012221</t>
  </si>
  <si>
    <t>CONTABILIDADE@TTBENFICA.COM.BR</t>
  </si>
  <si>
    <t>MAGALI.CHURAI@TTBENFICA.COM.BR</t>
  </si>
  <si>
    <t>FERNANDA.MOURO@TTBENFICA.COM.BR</t>
  </si>
  <si>
    <t>CAIO FONTANA CORREA</t>
  </si>
  <si>
    <t>996919506</t>
  </si>
  <si>
    <t>4924800-Transporte escolar\4929902-Transporte rodoviário coletivo de passageiros, sob regime de fretamento, intermunicipal, interestadual e internacional\4929999-Outros transportes rodoviários de passageiros não especificados anteriormente\4930203-Transporte rodoviário de produtos perigosos\7711000-Locação de automóveis sem condutor\7719599-Locação de outros meios de transporte não especificados anteriormente, sem condutor</t>
  </si>
  <si>
    <t>636.000.804.110</t>
  </si>
  <si>
    <t>44.411.353/0001-50</t>
  </si>
  <si>
    <t>CRAGEA - COMPANHIA REGIONAL DE ARMAZENS GERAIS E ENTREPOSTOS ADUANEIROS</t>
  </si>
  <si>
    <t>CRAGEA</t>
  </si>
  <si>
    <t>5211799</t>
  </si>
  <si>
    <t>Depósitos de mercadorias para terceiros, exceto armazéns gerais e guarda-móveis</t>
  </si>
  <si>
    <t>9/6/1973</t>
  </si>
  <si>
    <t>INDIO TIBIRICA</t>
  </si>
  <si>
    <t>12000</t>
  </si>
  <si>
    <t>KM 58</t>
  </si>
  <si>
    <t>PALMEIRAS DE SAO PAULO</t>
  </si>
  <si>
    <t>SUZANO</t>
  </si>
  <si>
    <t>8630000</t>
  </si>
  <si>
    <t>999919829</t>
  </si>
  <si>
    <t>972668459</t>
  </si>
  <si>
    <t>994770482</t>
  </si>
  <si>
    <t>26094357</t>
  </si>
  <si>
    <t>FABIO.GALVAO@CRAGEA.COM.BR</t>
  </si>
  <si>
    <t>JAILSON.SILVA@CRAGEA.COM.BR</t>
  </si>
  <si>
    <t>JEAN.FRANCA@CRAGEA.COM.BR</t>
  </si>
  <si>
    <t>MAURILIO HIROMI YOSHITA</t>
  </si>
  <si>
    <t>940819838</t>
  </si>
  <si>
    <t>MAURO SHIGUEMI YOSHITA</t>
  </si>
  <si>
    <t>999232160</t>
  </si>
  <si>
    <t>AKICO YOSHITA</t>
  </si>
  <si>
    <t>672.016.576.119</t>
  </si>
  <si>
    <t>13.592.092/0001-98</t>
  </si>
  <si>
    <t>COMPANHIA EMPORIO DE ARMAZENS GERAIS ALFANDEGADOS</t>
  </si>
  <si>
    <t>6/27/1974</t>
  </si>
  <si>
    <t>LUIZ TARQUINIO</t>
  </si>
  <si>
    <t>20</t>
  </si>
  <si>
    <t>BOA VIAGEM</t>
  </si>
  <si>
    <t>40414120</t>
  </si>
  <si>
    <t>996693285</t>
  </si>
  <si>
    <t>996352546</t>
  </si>
  <si>
    <t>996823145</t>
  </si>
  <si>
    <t>31835192</t>
  </si>
  <si>
    <t>FINANCEIRO@EADIEMPORIO.COM.BR</t>
  </si>
  <si>
    <t>GLEIDE CELLI FREITAS LIMA</t>
  </si>
  <si>
    <t>999269630</t>
  </si>
  <si>
    <t>CINTIA FREITAS LIMA MODESTO</t>
  </si>
  <si>
    <t>999562533</t>
  </si>
  <si>
    <t>ANTONIO FLORISVALDO TARZAN CARNEIRO LIMA FILHO</t>
  </si>
  <si>
    <t>999627526</t>
  </si>
  <si>
    <t>4930202-Transporte rodoviário de carga, exceto produtos perigosos e mudanças, intermunicipal, interestadual e internacional\</t>
  </si>
  <si>
    <t>070.123.900</t>
  </si>
  <si>
    <t>58.317.751/0001-16</t>
  </si>
  <si>
    <t>MOVECTA S.A.</t>
  </si>
  <si>
    <t>MOVECTA</t>
  </si>
  <si>
    <t>11/16/1987</t>
  </si>
  <si>
    <t>GUARARAPES</t>
  </si>
  <si>
    <t>1909</t>
  </si>
  <si>
    <t>ANDAR 9</t>
  </si>
  <si>
    <t>04561004</t>
  </si>
  <si>
    <t>30496570</t>
  </si>
  <si>
    <t>FISCAL@MOVECTA.COM.BR</t>
  </si>
  <si>
    <t>JUAREZ.GONSALVES@LOCALFRIO.COM.BR</t>
  </si>
  <si>
    <t>MAURICIO.SANTOS@LOCALFRIO.COM.BR</t>
  </si>
  <si>
    <t>ALCEU RODRIGUES VASONE</t>
  </si>
  <si>
    <t>984098888</t>
  </si>
  <si>
    <t>JOSE FLORENCIO RODRIGUES NETO</t>
  </si>
  <si>
    <t>991917091</t>
  </si>
  <si>
    <t>NICOLAS BORTOLETO OLIVEIRA</t>
  </si>
  <si>
    <t>972699696</t>
  </si>
  <si>
    <t>4930201-Transporte rodoviário de carga, exceto produtos perigosos e mudanças, municipal\4930202-Transporte rodoviário de carga, exceto produtos perigosos e mudanças, intermunicipal, interestadual e internacional\4930203-Transporte rodoviário de produtos perigosos\5211701-Armazéns gerais - emissão de warrant\5250801-Comissaria de despachos\5250805-Operador de transporte multimodal - OTM</t>
  </si>
  <si>
    <t>103.859.954.110</t>
  </si>
  <si>
    <t>03.649.445/0001-95</t>
  </si>
  <si>
    <t>CBL - COMPANHIA BRASILEIRA DE LOGISTICA S/A</t>
  </si>
  <si>
    <t>2/16/2000</t>
  </si>
  <si>
    <t>MANOEL RIBAS</t>
  </si>
  <si>
    <t>966</t>
  </si>
  <si>
    <t>MERCES</t>
  </si>
  <si>
    <t>80810000</t>
  </si>
  <si>
    <t>31567852</t>
  </si>
  <si>
    <t>CONTADOR@INTERALLI.COM.BR</t>
  </si>
  <si>
    <t>GILMAR@CBLSA.COM.BR</t>
  </si>
  <si>
    <t>CBLSA@IG.COM.BR</t>
  </si>
  <si>
    <t>4663000-Comércio atacadista de máquinas e equipamentos para uso industrial, partes e peças\4940000-Transporte dutoviário\5211799-Depósitos de mercadorias para terceiros, exceto armazéns gerais e guarda-móveis\5232000-Atividades de agenciamento marítimo\5250801-Comissaria de despachos\5250805-Operador de transporte multimodal - OTM\6810201-Compra e venda de imóveis próprios\6810202-Aluguel de imóveis próprios\7739099-Aluguel de outras máquinas e equipamentos comerciais e industriais não especificados anteriormente, sem operador\</t>
  </si>
  <si>
    <t>90203406-46</t>
  </si>
  <si>
    <t>02.973.358/0001-26</t>
  </si>
  <si>
    <t>BH FOODS COMERCIO E INDUSTRIA LTDA</t>
  </si>
  <si>
    <t>2/9/1999</t>
  </si>
  <si>
    <t>DO SOLDADO</t>
  </si>
  <si>
    <t>730</t>
  </si>
  <si>
    <t>GALPAO5</t>
  </si>
  <si>
    <t>PEROBAS</t>
  </si>
  <si>
    <t>32040027</t>
  </si>
  <si>
    <t>FISCAL@BHFOODS.COM.BR</t>
  </si>
  <si>
    <t>EDUARDO@BHFOODS.COM.BR</t>
  </si>
  <si>
    <t>1011201-Frigorífico - abate de bovinos\1011203-Frigorífico - abate de ovinos e caprinos\1011204-Frigorífico - abate de bufalinos\1012101-Abate de aves\1012103-Frigorífico - abate de suínos\1013902-Preparação de subprodutos do abate\4634601-Comércio atacadista de carnes bovinas e suínas e derivados\4634602-Comércio atacadista de aves abatidas e derivados\4634603-Comércio atacadista de pescados e frutos do mar\4930201-Transporte rodoviário de carga, exceto produtos perigosos e mudanças, municipal\4930202-Transporte rodoviário de carga, exceto produtos perigosos e mudanças, intermunicipal, interestadual e internacional\5211799-Depósitos de mercadorias para terceiros, exceto armazéns gerais e guarda-móveis\5620101-Fornecimento de alimentos preparados preponderantemente para empresas\</t>
  </si>
  <si>
    <t>186013086.00-02</t>
  </si>
  <si>
    <t>09.250.869/0001-69</t>
  </si>
  <si>
    <t>FRIGORIFICO CARIACICA S.A.</t>
  </si>
  <si>
    <t>MAFRICAL</t>
  </si>
  <si>
    <t>12/10/2007</t>
  </si>
  <si>
    <t>GOVERNADOR JOSE HENRIQUE SETTE</t>
  </si>
  <si>
    <t>2660</t>
  </si>
  <si>
    <t>PLANETA</t>
  </si>
  <si>
    <t>29156775</t>
  </si>
  <si>
    <t>999389538</t>
  </si>
  <si>
    <t>999361578</t>
  </si>
  <si>
    <t>996041850</t>
  </si>
  <si>
    <t>33963557</t>
  </si>
  <si>
    <t>CONTABIL01@MAFRICAL.COM.BR</t>
  </si>
  <si>
    <t>IRMAOSVAREJAO@UOL.COM.BR</t>
  </si>
  <si>
    <t>ALAN@MAFRICAL.COM.BR</t>
  </si>
  <si>
    <t>EDMILSON SIQUEIRA VAREJAO SOBRINHO</t>
  </si>
  <si>
    <t>981322602</t>
  </si>
  <si>
    <t>EDILSON DE SIQUEIRA VAREJAO JUNIOR</t>
  </si>
  <si>
    <t>993122196</t>
  </si>
  <si>
    <t>1011203-Frigorífico - abate de ovinos e caprinos\1011204-Frigorífico - abate de bufalinos\1011205-Matadouro - abate de reses sob contrato, exceto abate de suínos\1012103-Frigorífico - abate de suínos\4634601-Comércio atacadista de carnes bovinas e suínas e derivados\4634602-Comércio atacadista de aves abatidas e derivados\4634699-Comércio atacadista de carnes e derivados de outros animais\</t>
  </si>
  <si>
    <t>082.505.83-7</t>
  </si>
  <si>
    <t>82.714.783/0001-30</t>
  </si>
  <si>
    <t>TRANSOESTE LOGISTICA LTDA</t>
  </si>
  <si>
    <t>10/26/1990</t>
  </si>
  <si>
    <t>BR-163</t>
  </si>
  <si>
    <t>KM118 SALA02200M</t>
  </si>
  <si>
    <t>PARQUE INDUSTRIAL VETORASSO</t>
  </si>
  <si>
    <t>RONDONOPOLIS</t>
  </si>
  <si>
    <t>78746055</t>
  </si>
  <si>
    <t>981270425</t>
  </si>
  <si>
    <t>999120732</t>
  </si>
  <si>
    <t>996337414</t>
  </si>
  <si>
    <t>34112712</t>
  </si>
  <si>
    <t>CONTADOR@TRANSOESTE.COM.BR</t>
  </si>
  <si>
    <t>TRANSOESTE@TRANSOESTE.COM.BR</t>
  </si>
  <si>
    <t>ELIS@TRANSOESTE.COM.BR</t>
  </si>
  <si>
    <t>JEAN CARLOS BARBOSA</t>
  </si>
  <si>
    <t>999847177</t>
  </si>
  <si>
    <t>MARCIO LUIZ BARBOSA</t>
  </si>
  <si>
    <t>ODAIR JOSE BARBOSA</t>
  </si>
  <si>
    <t>996480154</t>
  </si>
  <si>
    <t>4930203-Transporte rodoviário de produtos perigosos\</t>
  </si>
  <si>
    <t>13.339.380-1</t>
  </si>
  <si>
    <t>30.683.536/0001-10</t>
  </si>
  <si>
    <t>ZILLI ARMAZENS GERAIS S.A.</t>
  </si>
  <si>
    <t>TERCA</t>
  </si>
  <si>
    <t>9/3/1986</t>
  </si>
  <si>
    <t>GOVERNADOR MARIO COVAS 1941</t>
  </si>
  <si>
    <t>1941</t>
  </si>
  <si>
    <t>KM 281 3 LOTE 2873 3013</t>
  </si>
  <si>
    <t>PADRE MATHIAS</t>
  </si>
  <si>
    <t>29158900</t>
  </si>
  <si>
    <t>992288690</t>
  </si>
  <si>
    <t>999548607</t>
  </si>
  <si>
    <t>999635764</t>
  </si>
  <si>
    <t>33315000</t>
  </si>
  <si>
    <t>DIRETORIA@TERCA.COM.BR</t>
  </si>
  <si>
    <t>DIEGO@TERCA.COM.BR</t>
  </si>
  <si>
    <t>OSVALDO ANTONIO PAGNUNSSAT ZILLI FILHO</t>
  </si>
  <si>
    <t>5211799-Depósitos de mercadorias para terceiros, exceto armazéns gerais e guarda-móveis\5212500-Carga e descarga\5250801-Comissaria de despachos\5250804-Organização logística do transporte de carga\6463800-Outras sociedades de participação, exceto holdings\6810202-Aluguel de imóveis próprios\7739099-Aluguel de outras máquinas e equipamentos comerciais e industriais não especificados anteriormente, sem operador\</t>
  </si>
  <si>
    <t>081.127.04-9</t>
  </si>
  <si>
    <t>04.461.341/0001-15</t>
  </si>
  <si>
    <t>LIQUIPORT TERMINAL PORTUARIO S.A.</t>
  </si>
  <si>
    <t>LIQUIPORT</t>
  </si>
  <si>
    <t>5/10/2001</t>
  </si>
  <si>
    <t>JOSE DAVID MOSCON</t>
  </si>
  <si>
    <t>105</t>
  </si>
  <si>
    <t>PAUL</t>
  </si>
  <si>
    <t>VILA VELHA</t>
  </si>
  <si>
    <t>29115095</t>
  </si>
  <si>
    <t>34222300</t>
  </si>
  <si>
    <t>ADMINISTRATIVO@LIQUIPORT.COM.BR</t>
  </si>
  <si>
    <t>MLUIZ@LIQUIPORT.COM.BR</t>
  </si>
  <si>
    <t>HAROLDO@LIQUIPORT.COM.BR</t>
  </si>
  <si>
    <t>EDUARDO AUGUSTO NUNES</t>
  </si>
  <si>
    <t>967052786</t>
  </si>
  <si>
    <t>5211701-Armazéns gerais - emissão de warrant\5212500-Carga e descarga</t>
  </si>
  <si>
    <t>082.558.53-1</t>
  </si>
  <si>
    <t>02.225.085/0001-31</t>
  </si>
  <si>
    <t>FRIGORIFICO ELGOLLI LTDA</t>
  </si>
  <si>
    <t>10/22/1997</t>
  </si>
  <si>
    <t>KARL BAASCH</t>
  </si>
  <si>
    <t>272</t>
  </si>
  <si>
    <t>TAIO</t>
  </si>
  <si>
    <t>89190000</t>
  </si>
  <si>
    <t>992434675</t>
  </si>
  <si>
    <t>991276855</t>
  </si>
  <si>
    <t>992054059</t>
  </si>
  <si>
    <t>35312866</t>
  </si>
  <si>
    <t>TI@FRIGORIFICOELGOLLI.COM.BR</t>
  </si>
  <si>
    <t>10 HOLDING S.A.</t>
  </si>
  <si>
    <t>EDUARDO ALBERTO ERN</t>
  </si>
  <si>
    <t>991212008</t>
  </si>
  <si>
    <t>0151201-Criação de bovinos para corte\1012101-Abate de aves\1012103-Frigorífico - abate de suínos\1013901-Fabricação de produtos de carne\1013902-Preparação de subprodutos do abate\1043100-Fabricação de margarina e outras gorduras vegetais e de óleos não comestíveis de animais\4634601-Comércio atacadista de carnes bovinas e suínas e derivados\4634699-Comércio atacadista de carnes e derivados de outros animais\4722901-Comércio varejista de carnes - açougues\4930202-Transporte rodoviário de carga, exceto produtos perigosos e mudanças, intermunicipal, interestadual e internacional\5211799-Depósitos de mercadorias para terceiros, exceto armazéns gerais e guarda-móveis\</t>
  </si>
  <si>
    <t>253589940</t>
  </si>
  <si>
    <t>83.834.101/0001-95</t>
  </si>
  <si>
    <t>PALMASOLA S A MADEIRAS E AGRICULTURA</t>
  </si>
  <si>
    <t>11/24/1955</t>
  </si>
  <si>
    <t>CRESTANI</t>
  </si>
  <si>
    <t>515</t>
  </si>
  <si>
    <t>SERRARIA UM</t>
  </si>
  <si>
    <t>PALMA SOLA</t>
  </si>
  <si>
    <t>89985000</t>
  </si>
  <si>
    <t>991357132</t>
  </si>
  <si>
    <t>991552651</t>
  </si>
  <si>
    <t>991254612</t>
  </si>
  <si>
    <t>36523000</t>
  </si>
  <si>
    <t>EDEMAR@PALMASOLA.COM.BR</t>
  </si>
  <si>
    <t>GABRIEL@PALMASOLA.COM.BR</t>
  </si>
  <si>
    <t>MARCELO@PALMASOLA.COM.BR</t>
  </si>
  <si>
    <t>MARCELO VISSOTO</t>
  </si>
  <si>
    <t>991278562</t>
  </si>
  <si>
    <t>LUIZ CARLOS REIS DE TOLEDO BARROS</t>
  </si>
  <si>
    <t>996898620</t>
  </si>
  <si>
    <t>0111301-Cultivo de arroz\0111302-Cultivo de milho\0111303-Cultivo de trigo\0115600-Cultivo de soja\0151201-Criação de bovinos para corte\0210107-Extração de madeira em florestas plantadas\1610203-Serrarias com desdobramento de madeira em bruto\1610204-Serrarias sem desdobramento de madeira em bruto - Resseragem\1621800-Fabricação de madeira laminada e de chapas de madeira compensada, prensada e aglomerada\4622200-Comércio atacadista de soja\4623101-Comércio atacadista de animais vivos\4632001-Comércio atacadista de cereais e leguminosas beneficiados\4731800-Comércio varejista de combustíveis para veículos automotores\4732600-Comércio varejista de lubrificantes\4789099-Comércio varejista de outros produtos não especificados anteriormente\6810201-Compra e venda de imóveis próprios\6810202-Aluguel de imóveis próprios\6810203-Loteamento de imóveis próprios</t>
  </si>
  <si>
    <t>250163950</t>
  </si>
  <si>
    <t>04.660.028/0001-06</t>
  </si>
  <si>
    <t>MECALUX DO BRASIL SISTEMAS DE ARMAZENAGEM LTDA.</t>
  </si>
  <si>
    <t>8/23/2001</t>
  </si>
  <si>
    <t>FRANCISCO RIBERAS PAMPLIEGA</t>
  </si>
  <si>
    <t>GALPAO B</t>
  </si>
  <si>
    <t>JARDIM NOVA EUROPA</t>
  </si>
  <si>
    <t>HORTOLANDIA</t>
  </si>
  <si>
    <t>13184891</t>
  </si>
  <si>
    <t>996131898</t>
  </si>
  <si>
    <t>992314374</t>
  </si>
  <si>
    <t>991129844</t>
  </si>
  <si>
    <t>38096800</t>
  </si>
  <si>
    <t>JOAO.FERREIRA@MECALUX.COM</t>
  </si>
  <si>
    <t>MECALUX SERVIS SA</t>
  </si>
  <si>
    <t>MECALUX S.A.</t>
  </si>
  <si>
    <t>IVAN POBLET MENENDEZ</t>
  </si>
  <si>
    <t>981131031</t>
  </si>
  <si>
    <t>3102100-Fabricação de móveis com predominância de metal\3314708-Manutenção e reparação de máquinas, equipamentos e aparelhos para transporte e elevação de cargas\4292801-Montagem de estruturas metálicas\6204000-Consultoria em tecnologia da informação</t>
  </si>
  <si>
    <t>748.112.152.118</t>
  </si>
  <si>
    <t>67.671.222/0001-07</t>
  </si>
  <si>
    <t>FRANGOESTE AVICULTURA LTDA</t>
  </si>
  <si>
    <t>3/13/1992</t>
  </si>
  <si>
    <t>MAL RONDON SN</t>
  </si>
  <si>
    <t>KM 159</t>
  </si>
  <si>
    <t>BARRA FUNDA</t>
  </si>
  <si>
    <t>TIETE</t>
  </si>
  <si>
    <t>18530000</t>
  </si>
  <si>
    <t>997277429</t>
  </si>
  <si>
    <t>996565222</t>
  </si>
  <si>
    <t>996914727</t>
  </si>
  <si>
    <t>33639600</t>
  </si>
  <si>
    <t>CARLOSALBERTO@FRANGOESTE.COM.BR</t>
  </si>
  <si>
    <t>AGNALDO.GONCALVES@FRANGOESTE.COM.BR</t>
  </si>
  <si>
    <t>CRISTIANE.AMORIM@FRANGOESTE.COM.BR</t>
  </si>
  <si>
    <t>ZANCHETTA ALIMENTOS LTDA</t>
  </si>
  <si>
    <t>JOSE CARLOS ZANCHETTA</t>
  </si>
  <si>
    <t>991026532</t>
  </si>
  <si>
    <t>RENATA DOS SANTOS ZANCHETTA TEIXEIRA DE CAMARGO</t>
  </si>
  <si>
    <t>996449061</t>
  </si>
  <si>
    <t>1013901-Fabricação de produtos de carne\1013902-Preparação de subprodutos do abate\4634601-Comércio atacadista de carnes bovinas e suínas e derivados\4634602-Comércio atacadista de aves abatidas e derivados\4722901-Comércio varejista de carnes - açougues\5211799-Depósitos de mercadorias para terceiros, exceto armazéns gerais e guarda-móveis</t>
  </si>
  <si>
    <t>692.006.159.115</t>
  </si>
  <si>
    <t>11.671.820/0001-21</t>
  </si>
  <si>
    <t>DOMART ALIMENTOS LTDA</t>
  </si>
  <si>
    <t>DOMART ALIMENTOS</t>
  </si>
  <si>
    <t>3/3/2010</t>
  </si>
  <si>
    <t>JOAO BATISTA KLEIN SN</t>
  </si>
  <si>
    <t>KM 2</t>
  </si>
  <si>
    <t>SOIDO DE BAIXO</t>
  </si>
  <si>
    <t>MARECHAL FLORIANO</t>
  </si>
  <si>
    <t>29255000</t>
  </si>
  <si>
    <t>998360345</t>
  </si>
  <si>
    <t>997973099</t>
  </si>
  <si>
    <t>999465210</t>
  </si>
  <si>
    <t>32881325</t>
  </si>
  <si>
    <t>COMPRAS@OIFRANGO.COM.BR</t>
  </si>
  <si>
    <t>EDUARDO@OIFRANGO.COM.BR</t>
  </si>
  <si>
    <t>GUSTAVO@OIFRANGO.COM.BR</t>
  </si>
  <si>
    <t>OSORIO SCHNEIDER</t>
  </si>
  <si>
    <t>996581325</t>
  </si>
  <si>
    <t>ODERLI SCHNEIDER</t>
  </si>
  <si>
    <t>999711311</t>
  </si>
  <si>
    <t>ITAMAR KLEIN</t>
  </si>
  <si>
    <t>999977998</t>
  </si>
  <si>
    <t>0155501-Criação de frangos para corte\0161099-Atividades de apoio à agricultura não especificadas anteriormente\1013901-Fabricação de produtos de carne\1013902-Preparação de subprodutos do abate\1066000-Fabricação de alimentos para animais\4633802-Comércio atacadista de aves vivas e ovos</t>
  </si>
  <si>
    <t>082.815.58-5</t>
  </si>
  <si>
    <t>17.283.362/0001-30</t>
  </si>
  <si>
    <t>PRIME CATER COMERCIAL DE PRODUTOS ALIMENTICIOS S.A.</t>
  </si>
  <si>
    <t>9/18/2012</t>
  </si>
  <si>
    <t>JOAQUIM SIMOES</t>
  </si>
  <si>
    <t>350</t>
  </si>
  <si>
    <t>GALPAO I</t>
  </si>
  <si>
    <t>JD VERA CRUZ</t>
  </si>
  <si>
    <t>LOUVEIRA</t>
  </si>
  <si>
    <t>13290000</t>
  </si>
  <si>
    <t>31410369</t>
  </si>
  <si>
    <t>CONTAS-PAGAR@PMCT.COM.BR</t>
  </si>
  <si>
    <t>MARCELO VAZ SHIMBO</t>
  </si>
  <si>
    <t>996550481</t>
  </si>
  <si>
    <t>MARIA EUGENIA JUNIA CAMPACCI AMARAL ROCHA</t>
  </si>
  <si>
    <t>998694242</t>
  </si>
  <si>
    <t>ANDRE OLIVEIRA PEROSA</t>
  </si>
  <si>
    <t>981445820</t>
  </si>
  <si>
    <t>4634601-Comércio atacadista de carnes bovinas e suínas e derivados\4634699-Comércio atacadista de carnes e derivados de outros animais\4635499-Comércio atacadista de bebidas não especificadas anteriormente\4637199-Comércio atacadista especializado em outros produtos alimentícios não especificados anteriormente\4649499-Comércio atacadista de outros equipamentos e artigos de uso pessoal e doméstico não especificados anteriormente\4687701-Comércio atacadista de resíduos de papel e papelão\4712100-Comércio varejista de mercadorias em geral, com predominância de produtos alimentícios - minimercados, mercearias e armazéns\4722901-Comércio varejista de carnes - açougues\4723700-Comércio varejista de bebidas\4729699-Comércio varejista de produtos alimentícios em geral ou especializado em produtos alimentícios não especificados anteriormente\4759899-Comércio varejista de outros artigos de uso doméstico não especificados anteriormente\4761001-Comércio varejista de livros\4789099-Comércio varejista de outros produtos não especificados anteriormente\5212500-Carga e descarga\5620102-Serviços de alimentação para eventos e recepções - bufê\</t>
  </si>
  <si>
    <t>421.024.463.119</t>
  </si>
  <si>
    <t>02.483.898/0001-21</t>
  </si>
  <si>
    <t>FUNDICAO MORENO LTDA</t>
  </si>
  <si>
    <t>4/23/1998</t>
  </si>
  <si>
    <t>ADAMO MELONI</t>
  </si>
  <si>
    <t>CX POSTAL 530</t>
  </si>
  <si>
    <t>SETOR INDUSTRIAL</t>
  </si>
  <si>
    <t>SERTAOZINHO</t>
  </si>
  <si>
    <t>14175000</t>
  </si>
  <si>
    <t>997029914</t>
  </si>
  <si>
    <t>997339223</t>
  </si>
  <si>
    <t>996429635</t>
  </si>
  <si>
    <t>39465000</t>
  </si>
  <si>
    <t>JACQUELINE.OLIVEIRA@MORENO.IND.BR</t>
  </si>
  <si>
    <t>FUNDICAOMORENO@MORENO.IND.BR</t>
  </si>
  <si>
    <t>DANIELA.HONORATO@MORENO.IND.BR</t>
  </si>
  <si>
    <t>CLAUDIO RODOLFO SCHMIDT</t>
  </si>
  <si>
    <t>989375551</t>
  </si>
  <si>
    <t>MORENO PARTICIPACOES E EQUIPAMENTOS INDUSTRIAIS LTDA</t>
  </si>
  <si>
    <t>39465019</t>
  </si>
  <si>
    <t>LUIS GUSTAVO POSSOS</t>
  </si>
  <si>
    <t>999929953</t>
  </si>
  <si>
    <t>2862300-Fabricação de máquinas e equipamentos para as indústrias de alimentos, bebidas e fumo, peças e acessórios\2869100-Fabricação de máquinas e equipamentos para uso industrial específico não especificados anteriormente, peças e acessórios\3314799-Manutenção e reparação de outras máquinas e equipamentos para usos industriais não especificados anteriormente\7120100-Testes e análises técnicas</t>
  </si>
  <si>
    <t>664.064.334.112</t>
  </si>
  <si>
    <t>60.972.585/0001-33</t>
  </si>
  <si>
    <t>TRANSREMOCAO TRANSPORTES PESADOS, REMOCOES TECNICAS E ARMAZENAMENTO LTDA.</t>
  </si>
  <si>
    <t>1/26/1970</t>
  </si>
  <si>
    <t>MAESTRO GABRIEL MIGLIORI</t>
  </si>
  <si>
    <t>465</t>
  </si>
  <si>
    <t>JARDIM PEREIRA LEITE</t>
  </si>
  <si>
    <t>2712140</t>
  </si>
  <si>
    <t>940025007</t>
  </si>
  <si>
    <t>991702789</t>
  </si>
  <si>
    <t>991414687</t>
  </si>
  <si>
    <t>39339497</t>
  </si>
  <si>
    <t>DIRETORIA1@TRANSREMOCAO.COM.BR</t>
  </si>
  <si>
    <t>FINANCEIRO@TRANSREMOCAO.COM.BR</t>
  </si>
  <si>
    <t>FATURAMENTO@TRANSREMOCAO.COM.BR</t>
  </si>
  <si>
    <t>PEDRO JOSE GAIA</t>
  </si>
  <si>
    <t>999325924</t>
  </si>
  <si>
    <t>ALEANDRA CUSTODIO GAIA</t>
  </si>
  <si>
    <t>4930201-Transporte rodoviário de carga, exceto produtos perigosos e mudanças, municipal\5211799-Depósitos de mercadorias para terceiros, exceto armazéns gerais e guarda-móveis\5229099-Outras atividades auxiliares dos transportes terrestres não especificadas anteriormente\7112000-Serviços de engenharia</t>
  </si>
  <si>
    <t>108.265.110.112</t>
  </si>
  <si>
    <t>04.567.650/0001-74</t>
  </si>
  <si>
    <t>LOCALIX SERVICOS AMBIENTAIS S.A.</t>
  </si>
  <si>
    <t>LOCALIX</t>
  </si>
  <si>
    <t>7/25/2001</t>
  </si>
  <si>
    <t>HALLEY</t>
  </si>
  <si>
    <t>321</t>
  </si>
  <si>
    <t>JARDIM RIACHO DAS PEDRAS</t>
  </si>
  <si>
    <t>32242270</t>
  </si>
  <si>
    <t>998378905</t>
  </si>
  <si>
    <t>993760204</t>
  </si>
  <si>
    <t>995732173</t>
  </si>
  <si>
    <t>33332969</t>
  </si>
  <si>
    <t>CONTABILIDADE@LOCALIX.COM.BR</t>
  </si>
  <si>
    <t>BARBARA@LOCALIX.COM.BR</t>
  </si>
  <si>
    <t>BRUNO.MUNIZ@LOCALIX.COM.BR</t>
  </si>
  <si>
    <t>MARCOS LEANDRO GUALBERTO LOPES</t>
  </si>
  <si>
    <t>984475476</t>
  </si>
  <si>
    <t>DANIEL PRATES RIBEIRO</t>
  </si>
  <si>
    <t>38</t>
  </si>
  <si>
    <t>997490029</t>
  </si>
  <si>
    <t>2930101-Fabricação de cabines, carrocerias e reboques para caminhões\3811400-Coleta de resíduos não perigosos\3821100-Tratamento e disposição de resíduos não perigosos\3822000-Tratamento e disposição de resíduos perigosos\4213800-Obras de urbanização - ruas, praças e calçadas\4222701-Construção de redes de abastecimento de água, coleta de esgoto e construções correlatas, exceto obras de irrigação\4520001-Serviços de manutenção e reparação mecânica de veículos automotores\4520005-Serviços de lavagem, lubrificação e polimento de veículos automotores\4930201-Transporte rodoviário de carga, exceto produtos perigosos e mudanças, municipal\5222200-Terminais rodoviários e ferroviários\5239799-Atividades auxiliares dos transportes aquaviários não especificadas anteriormente\5240199-Atividades auxiliares dos transportes aéreos, exceto operação dos aeroportos e campos de aterrissagem\5250804-Organização logística do transporte de carga\7112000-Serviços de engenharia\7719599-Locação de outros meios de transporte não especificados anteriormente, sem condutor\7732201-Aluguel de máquinas e equipamentos para construção sem operador, exceto andaimes\8129000-Atividades de limpeza não especificadas anteriormente\8130300-Atividades paisagísticas</t>
  </si>
  <si>
    <t>186997700.00-61</t>
  </si>
  <si>
    <t>20.723.631/0001-46</t>
  </si>
  <si>
    <t>TRANSPORTADORA FIGUEIREDO LTDA</t>
  </si>
  <si>
    <t>1/11/1985</t>
  </si>
  <si>
    <t>NS DO CARMO</t>
  </si>
  <si>
    <t>PARAOPEBA</t>
  </si>
  <si>
    <t>35774000</t>
  </si>
  <si>
    <t>910000000</t>
  </si>
  <si>
    <t>997712121</t>
  </si>
  <si>
    <t>999153143</t>
  </si>
  <si>
    <t>37144942</t>
  </si>
  <si>
    <t>LUCIANO@TRANSPORTADORAFIGUEIREDO.COM.BR</t>
  </si>
  <si>
    <t>MARCOS ANTONIO DE FIGUEIREDO</t>
  </si>
  <si>
    <t>999863877</t>
  </si>
  <si>
    <t>CELMA DA SILVA FIGUEIREDO</t>
  </si>
  <si>
    <t>996340680</t>
  </si>
  <si>
    <t>LUCIANO DA SILVA FIGUEIREDO</t>
  </si>
  <si>
    <t>998356791</t>
  </si>
  <si>
    <t>4663000-Comércio atacadista de máquinas e equipamentos para uso industrial, partes e peças\4930201-Transporte rodoviário de carga, exceto produtos perigosos e mudanças, municipal\4930203-Transporte rodoviário de produtos perigosos\5211799-Depósitos de mercadorias para terceiros, exceto armazéns gerais e guarda-móveis\7020400-Atividades de consultoria em gestão empresarial, exceto consultoria técnica específica\7711000-Locação de automóveis sem condutor\7732201-Aluguel de máquinas e equipamentos para construção sem operador, exceto andaimes\8211300-Serviços combinados de escritório e apoio administrativo</t>
  </si>
  <si>
    <t>474644130.00-40</t>
  </si>
  <si>
    <t>20.177.671/0001-30</t>
  </si>
  <si>
    <t>TRANSPORTES E CONSTRUCOES LTDA</t>
  </si>
  <si>
    <t>TCX</t>
  </si>
  <si>
    <t>10/1/1984</t>
  </si>
  <si>
    <t>IMBIARA</t>
  </si>
  <si>
    <t>LOJA 04</t>
  </si>
  <si>
    <t>ARAXA</t>
  </si>
  <si>
    <t>38183244</t>
  </si>
  <si>
    <t>998112126</t>
  </si>
  <si>
    <t>999555145</t>
  </si>
  <si>
    <t>998386061</t>
  </si>
  <si>
    <t>36696524</t>
  </si>
  <si>
    <t>COMPRAS.TRANSCOL@TERRA.COM.BR</t>
  </si>
  <si>
    <t>AMANDA.VAZ@MINAX.COM.BR</t>
  </si>
  <si>
    <t>ANTONIO@MINAX.COM.BR</t>
  </si>
  <si>
    <t>ANTONIO ASSIS ABDO</t>
  </si>
  <si>
    <t>991121104</t>
  </si>
  <si>
    <t>ANTONIO ASSIS ABDO JUNIOR</t>
  </si>
  <si>
    <t>984015301</t>
  </si>
  <si>
    <t>0990402-Atividades de apoio à extração de minerais metálicos não ferrosos\4299599-Outras obras de engenharia civil não especificadas anteriormente\4313400-Obras de terraplenagem\4929999-Outros transportes rodoviários de passageiros não especificados anteriormente\4930201-Transporte rodoviário de carga, exceto produtos perigosos e mudanças, municipal\4930203-Transporte rodoviário de produtos perigosos\5250803-Agenciamento de cargas, exceto para o transporte marítimo\7820500-Locação de mão de obra temporária</t>
  </si>
  <si>
    <t>040551063.00-38</t>
  </si>
  <si>
    <t>07.125.452/0001-49</t>
  </si>
  <si>
    <t>INOVA AMBIENTAL ASSESSORIA E COMERCIO S/A</t>
  </si>
  <si>
    <t>INOVA AMBIENTAL</t>
  </si>
  <si>
    <t>11/12/2004</t>
  </si>
  <si>
    <t>PROFESSOR HELENO CLAUDIO FRAGOSO</t>
  </si>
  <si>
    <t>330</t>
  </si>
  <si>
    <t>MOQUETA</t>
  </si>
  <si>
    <t>NOVA IGUACU</t>
  </si>
  <si>
    <t>26285015</t>
  </si>
  <si>
    <t>976745669</t>
  </si>
  <si>
    <t>26648474</t>
  </si>
  <si>
    <t>INOVA@INOVAAMBIENTAL.COM</t>
  </si>
  <si>
    <t>EDUARDOTAVARES@INOVAAMBIENTAL.COM</t>
  </si>
  <si>
    <t>ALEXANDRE@INOVAAMBIENTAL.COM</t>
  </si>
  <si>
    <t>CRISTIANO DE LIMA DAVID</t>
  </si>
  <si>
    <t>999202204</t>
  </si>
  <si>
    <t>LAIZE DOS SANTOS PEREIRA</t>
  </si>
  <si>
    <t>981620975</t>
  </si>
  <si>
    <t>3811400-Coleta de resíduos não perigosos\3812200-Coleta de resíduos perigosos\3821100-Tratamento e disposição de resíduos não perigosos\4222701-Construção de redes de abastecimento de água, coleta de esgoto e construções correlatas, exceto obras de irrigação\4321500-Instalação e manutenção elétrica\4330404-Serviços de pintura de edifícios em geral\4399103-Obras de alvenaria\4520001-Serviços de manutenção e reparação mecânica de veículos automotores\4923002-Serviço de transporte de passageiros - locação de automóveis com motorista\4930201-Transporte rodoviário de carga, exceto produtos perigosos e mudanças, municipal\4930203-Transporte rodoviário de produtos perigosos\5212500-Carga e descarga\7112000-Serviços de engenharia\7711000-Locação de automóveis sem condutor\7719599-Locação de outros meios de transporte não especificados anteriormente, sem condutor\7739099-Aluguel de outras máquinas e equipamentos comerciais e industriais não especificados anteriormente, sem operador\8111700-Serviços combinados para apoio a edifícios, exceto condomínios prediais\8129000-Atividades de limpeza não especificadas anteriormente\8130300-Atividades paisagísticas\</t>
  </si>
  <si>
    <t>77.854.266</t>
  </si>
  <si>
    <t>81.075.137/0001-07</t>
  </si>
  <si>
    <t>AGUIA SISTEMAS DE ARMAZENAGEM LTDA</t>
  </si>
  <si>
    <t>11/24/1988</t>
  </si>
  <si>
    <t>SENADOR FLAVIO CARVALHO GUIMARAES</t>
  </si>
  <si>
    <t>3505</t>
  </si>
  <si>
    <t>CXPST 1618 CEP 84071 980</t>
  </si>
  <si>
    <t>BOA VISTA</t>
  </si>
  <si>
    <t>84072190</t>
  </si>
  <si>
    <t>999196669</t>
  </si>
  <si>
    <t>991032518</t>
  </si>
  <si>
    <t>998263782</t>
  </si>
  <si>
    <t>32202666</t>
  </si>
  <si>
    <t>NFERECEBIMENTO@AGUIASISTEMAS.COM.BR</t>
  </si>
  <si>
    <t>CARLOS.WIECHETECK@AGUIASISTEMAS.COM</t>
  </si>
  <si>
    <t>DIOGO.AMARAL@AGUIASISTEMAS.COM</t>
  </si>
  <si>
    <t>FERDINANDO SCHEFFER JUNIOR</t>
  </si>
  <si>
    <t>984244793</t>
  </si>
  <si>
    <t>ROGERIO SCHEFFER</t>
  </si>
  <si>
    <t>999933333</t>
  </si>
  <si>
    <t>JOAO FRANCISCO MIRANDA RIBAS</t>
  </si>
  <si>
    <t>991151132</t>
  </si>
  <si>
    <t>1610203-Serrarias com desdobramento de madeira em bruto\1623400-Fabricação de artefatos de tanoaria e de embalagens de madeira\1629301-Fabricação de artefatos diversos de madeira, exceto móveis\2330302-Fabricação de artefatos de cimento para uso na construção\2330305-Preparação de massa de concreto e argamassa para construção\2822402-Fabricação de máquinas, equipamentos e aparelhos para transporte e elevação de cargas, peças e acessórios\3314708-Manutenção e reparação de máquinas, equipamentos e aparelhos para transporte e elevação de cargas\4292801-Montagem de estruturas metálicas\4744099-Comércio varejista de materiais de construção em geral\6202300-Desenvolvimento e licenciamento de programas de computador customizáveis\6209100-Suporte técnico, manutenção e outros serviços em tecnologia da informação\7020400-Atividades de consultoria em gestão empresarial, exceto consultoria técnica específica\7112000-Serviços de engenharia\7739099-Aluguel de outras máquinas e equipamentos comerciais e industriais não especificados anteriormente, sem operador\8211300-Serviços combinados de escritório e apoio administrativo\8599604-Treinamento em desenvolvimento profissional e gerencial</t>
  </si>
  <si>
    <t>20104146-55</t>
  </si>
  <si>
    <t>05.075.152/0001-77</t>
  </si>
  <si>
    <t>MUNDIAL LOGISTICA INTEGRADA LTDA</t>
  </si>
  <si>
    <t>4/4/2002</t>
  </si>
  <si>
    <t>VELHA GUARULHOS-SAO MIGUEL</t>
  </si>
  <si>
    <t>1971</t>
  </si>
  <si>
    <t>JARDIM ARAPONGAS</t>
  </si>
  <si>
    <t>7210250</t>
  </si>
  <si>
    <t>932362140</t>
  </si>
  <si>
    <t>947032721</t>
  </si>
  <si>
    <t>976973510</t>
  </si>
  <si>
    <t>23492185</t>
  </si>
  <si>
    <t>FISCAL.SP@MUNDIALLOGISTICS.COM.BR</t>
  </si>
  <si>
    <t>ALEXANDRE.FERREIRA@MUNDIALLOGISTICS.COM.BR</t>
  </si>
  <si>
    <t>FINANCEIRO@MUNDIALWEB.COM.BR</t>
  </si>
  <si>
    <t>PAULA CRISTINA ARMANI</t>
  </si>
  <si>
    <t>983565559</t>
  </si>
  <si>
    <t>M ONE SOLUCOES PARA O PONTO DE VENDA LTDA</t>
  </si>
  <si>
    <t>FERNANDO PASSOS</t>
  </si>
  <si>
    <t>999023095</t>
  </si>
  <si>
    <t>4930201-Transporte rodoviário de carga, exceto produtos perigosos e mudanças, municipal\4930202-Transporte rodoviário de carga, exceto produtos perigosos e mudanças, intermunicipal, interestadual e internacional\4930203-Transporte rodoviário de produtos perigosos\5211799-Depósitos de mercadorias para terceiros, exceto armazéns gerais e guarda-móveis\5240199-Atividades auxiliares dos transportes aéreos, exceto operação dos aeroportos e campos de aterrissagem\5250804-Organização logística do transporte de carga\5250805-Operador de transporte multimodal - OTM\8292000-Envasamento e empacotamento sob contrato</t>
  </si>
  <si>
    <t>336.693.230.111</t>
  </si>
  <si>
    <t>04.364.144/0001-88</t>
  </si>
  <si>
    <t>LABORDE SERVICOS MARITIMOS LTDA.</t>
  </si>
  <si>
    <t>3/28/2001</t>
  </si>
  <si>
    <t>SAO CRISTOVAO</t>
  </si>
  <si>
    <t>5</t>
  </si>
  <si>
    <t>SALA506</t>
  </si>
  <si>
    <t>20940000</t>
  </si>
  <si>
    <t>38494500</t>
  </si>
  <si>
    <t>JANUARIOEMMERICK@HOTMAIL.COM</t>
  </si>
  <si>
    <t>CARLOSMANO@LABORDE.COM.BR</t>
  </si>
  <si>
    <t>LABORDE MARINE INTERNATIONAL, LLC</t>
  </si>
  <si>
    <t>PHOENIX NAVEGACAO LTDA</t>
  </si>
  <si>
    <t>THOMAS ANTHONY LUSCO</t>
  </si>
  <si>
    <t>0910600-Atividades de apoio à extração de petróleo e gás natural\3317101-Manutenção e reparação de embarcações e estruturas flutuantes\5239799-Atividades auxiliares dos transportes aquaviários não especificadas anteriormente\7719501-Locação de embarcações sem tripulação, exceto para finsrecreativos\7739001-Aluguel de máquinas e equipamentos para extração de minérios e petróleo, sem operador\</t>
  </si>
  <si>
    <t>77.227.733</t>
  </si>
  <si>
    <t>36.858.520/0001-87</t>
  </si>
  <si>
    <t>GRAVIA ESQUALITY INDUSTRIA METALURGICA LTDA - EM RECUPERACAO JUDICIAL</t>
  </si>
  <si>
    <t>2512800</t>
  </si>
  <si>
    <t>Fabricação de esquadrias de metal</t>
  </si>
  <si>
    <t>6/11/1991</t>
  </si>
  <si>
    <t>VP 2E</t>
  </si>
  <si>
    <t>QUADRA03 MODULO 07 A</t>
  </si>
  <si>
    <t>DISTRITO AGROINDUSTRIAL DE ANAPOLIS</t>
  </si>
  <si>
    <t>ANAPOLIS</t>
  </si>
  <si>
    <t>75132050</t>
  </si>
  <si>
    <t>33108810</t>
  </si>
  <si>
    <t>MARCIA.ARAUJO@GRAVIA.IND.BR</t>
  </si>
  <si>
    <t>TAYNARA.ANDRADE@GRAVIA.IND.BR</t>
  </si>
  <si>
    <t>JOSE DA SILVA GRAVIA</t>
  </si>
  <si>
    <t>2539001-Serviços de usinagem, torneiria e solda\4321500-Instalação e manutenção elétrica\4613300-Representantes comerciais e agentes do comércio de madeira, material de construção e ferragens\4669999-Comércio atacadista de outras máquinas e equipamentos não especificados anteriormente, partes e peças\4672900-Comércio atacadista de ferragens e ferramentas\4673700-Comércio atacadista de material elétrico\4742300-Comércio varejista de material elétrico\4744001-Comércio varejista de ferragens e ferramentas\4789099-Comércio varejista de outros produtos não especificados anteriormente\7112000-Serviços de engenharia</t>
  </si>
  <si>
    <t>10.230.693-1</t>
  </si>
  <si>
    <t>51.485.274/0001-59</t>
  </si>
  <si>
    <t>EMPRESA DE TRANSPORTES COVRE LTDA</t>
  </si>
  <si>
    <t>8/7/1969</t>
  </si>
  <si>
    <t>KM 147 5</t>
  </si>
  <si>
    <t>JARDIM NOVA LIMEIRA</t>
  </si>
  <si>
    <t>LIMEIRA</t>
  </si>
  <si>
    <t>13486199</t>
  </si>
  <si>
    <t>971449857</t>
  </si>
  <si>
    <t>996434035</t>
  </si>
  <si>
    <t>996980432</t>
  </si>
  <si>
    <t>34514688</t>
  </si>
  <si>
    <t>NFE.ADM@COVRE.COM.BR</t>
  </si>
  <si>
    <t>MELISSA.COVRE@COVRE.COM.BR</t>
  </si>
  <si>
    <t>ADRIANO.DIAS@COVRE.COM.BR</t>
  </si>
  <si>
    <t>ANTONIO APARECIDO COVRE</t>
  </si>
  <si>
    <t>991332985</t>
  </si>
  <si>
    <t>JOAO COVRE FILHO</t>
  </si>
  <si>
    <t>991222902</t>
  </si>
  <si>
    <t>EDISON COVRE</t>
  </si>
  <si>
    <t>4930203-Transporte rodoviário de produtos perigosos\5211701-Armazéns gerais - emissão de warrant\5211799-Depósitos de mercadorias para terceiros, exceto armazéns gerais e guarda-móveis\5250804-Organização logística do transporte de carga\8211300-Serviços combinados de escritório e apoio administrativo\</t>
  </si>
  <si>
    <t>417.002.539.118</t>
  </si>
  <si>
    <t>83.177.170/0001-73</t>
  </si>
  <si>
    <t>FRIGORIFICO GESSNER LTDA</t>
  </si>
  <si>
    <t>4/13/1976</t>
  </si>
  <si>
    <t>FRITZ LORENZ</t>
  </si>
  <si>
    <t>3520</t>
  </si>
  <si>
    <t>ST IND</t>
  </si>
  <si>
    <t>TIMBO</t>
  </si>
  <si>
    <t>89120000</t>
  </si>
  <si>
    <t>999093997</t>
  </si>
  <si>
    <t>992373817</t>
  </si>
  <si>
    <t>992868915</t>
  </si>
  <si>
    <t>32811500</t>
  </si>
  <si>
    <t>ROGERIO@FRIGORIFICOGESSNER.COM.BR</t>
  </si>
  <si>
    <t>CONRAD GESSNER</t>
  </si>
  <si>
    <t>999737055</t>
  </si>
  <si>
    <t>1011205-Matadouro - abate de reses sob contrato, exceto abate de suínos\1013901-Fabricação de produtos de carne\1013902-Preparação de subprodutos do abate\1052000-Fabricação de laticínios\1099699-Fabricação de outros produtos alimentícios não especificados anteriormente\4631100-Comércio atacadista de leite e laticínios\4634699-Comércio atacadista de carnes e derivados de outros animais\4639701-Comércio atacadista de produtos alimentícios em geral\4689399-Comércio atacadista especializado em outros produtos intermediários não especificados anteriormente\4721103-Comércio varejista de laticínios e frios\4722901-Comércio varejista de carnes - açougues\4729699-Comércio varejista de produtos alimentícios em geral ou especializado em produtos alimentícios não especificados anteriormente\4930201-Transporte rodoviário de carga, exceto produtos perigosos e mudanças, municipal\4930202-Transporte rodoviário de carga, exceto produtos perigosos e mudanças, intermunicipal, interestadual e internacional</t>
  </si>
  <si>
    <t>250436086</t>
  </si>
  <si>
    <t>05.388.226/0001-25</t>
  </si>
  <si>
    <t>APM TERMINALS PECEM OPERACOES PORTUARIAS LTDA</t>
  </si>
  <si>
    <t>APM TERMINALS PECEM</t>
  </si>
  <si>
    <t>11/5/2002</t>
  </si>
  <si>
    <t>MARCOS MACEDO</t>
  </si>
  <si>
    <t>1255</t>
  </si>
  <si>
    <t>AP 1301</t>
  </si>
  <si>
    <t>ALDEOTA</t>
  </si>
  <si>
    <t>FORTALEZA</t>
  </si>
  <si>
    <t>60150190</t>
  </si>
  <si>
    <t>981180337</t>
  </si>
  <si>
    <t>981754404</t>
  </si>
  <si>
    <t>981830904</t>
  </si>
  <si>
    <t>33722718</t>
  </si>
  <si>
    <t>MARCIALINNA@GMAIL.COM</t>
  </si>
  <si>
    <t>UNILINK TRANSPORTES INTEGRADOS LTDA</t>
  </si>
  <si>
    <t>32310075</t>
  </si>
  <si>
    <t>APM TERMINALS BV</t>
  </si>
  <si>
    <t>ANDRE LUIS GONZAGA OURIVES</t>
  </si>
  <si>
    <t>981481889</t>
  </si>
  <si>
    <t>4930201-Transporte rodoviário de carga, exceto produtos perigosos e mudanças, municipal\5212500-Carga e descarga\5231101-Administração da infraestrutura portuária\7739099-Aluguel de outras máquinas e equipamentos comerciais e industriais não especificados anteriormente, sem operador</t>
  </si>
  <si>
    <t>06.674197-1</t>
  </si>
  <si>
    <t>40.924.102/0001-18</t>
  </si>
  <si>
    <t>KATOEN NATIE DO BRASIL LTDA</t>
  </si>
  <si>
    <t>9/10/1991</t>
  </si>
  <si>
    <t>VIENA</t>
  </si>
  <si>
    <t>419</t>
  </si>
  <si>
    <t>PARTE</t>
  </si>
  <si>
    <t>CASCATA</t>
  </si>
  <si>
    <t>PAULINIA</t>
  </si>
  <si>
    <t>13146055</t>
  </si>
  <si>
    <t>996859338</t>
  </si>
  <si>
    <t>998251382</t>
  </si>
  <si>
    <t>999849520</t>
  </si>
  <si>
    <t>21161506</t>
  </si>
  <si>
    <t>FISCAL@KATOENNATIE.COM.BR</t>
  </si>
  <si>
    <t>KATHERINE.DIMAIO@KATOENNATIE.COM.BR</t>
  </si>
  <si>
    <t>INFORMATICA@KATOENNATIE.COM.BR</t>
  </si>
  <si>
    <t>DISTRILOG EMPREENDIMENTOS, COMERCIO E IMPORTACAO LTDA</t>
  </si>
  <si>
    <t>21161500</t>
  </si>
  <si>
    <t>KATOEN NATIE LOGISTICA LTDA</t>
  </si>
  <si>
    <t>MARCAL LUIZ FEITOSA FERRARI</t>
  </si>
  <si>
    <t>992060740</t>
  </si>
  <si>
    <t>3314722-Manutenção e reparação de máquinas e aparelhos para a indústria do plástico\3839499-Recuperação de materiais não especificados anteriormente\4930201-Transporte rodoviário de carga, exceto produtos perigosos e mudanças, municipal\4930202-Transporte rodoviário de carga, exceto produtos perigosos e mudanças, intermunicipal, interestadual e internacional\5212500-Carga e descarga\5250804-Organização logística do transporte de carga\5250805-Operador de transporte multimodal - OTM\6810202-Aluguel de imóveis próprios\7739099-Aluguel de outras máquinas e equipamentos comerciais e industriais não especificados anteriormente, sem operador\7830200-Fornecimento e gestão de recursos humanos para terceiros\8292000-Envasamento e empacotamento sob contrato\</t>
  </si>
  <si>
    <t>513.437.141.114</t>
  </si>
  <si>
    <t>04.732.762/0001-33</t>
  </si>
  <si>
    <t>SVD TRANSPORTES RODOVIARIOS S/A</t>
  </si>
  <si>
    <t>SVD TRANSPORTES</t>
  </si>
  <si>
    <t>10/17/2001</t>
  </si>
  <si>
    <t>LODOVICO KAMINSKI</t>
  </si>
  <si>
    <t>880</t>
  </si>
  <si>
    <t>AUGUSTA</t>
  </si>
  <si>
    <t>81265310</t>
  </si>
  <si>
    <t>996020699</t>
  </si>
  <si>
    <t>33733330</t>
  </si>
  <si>
    <t>TESOURARIA@GRUPOSVD.COM.BR</t>
  </si>
  <si>
    <t>VALERIO@SVDTRANSPORTES.COM.BR</t>
  </si>
  <si>
    <t>FABRICIO.ROSSATO@GRUPOSVD.COM.BR</t>
  </si>
  <si>
    <t>ROBERTO EVERALDO TRINDADE</t>
  </si>
  <si>
    <t>991273577</t>
  </si>
  <si>
    <t>FABRICIO DE ASSIS ROSSATO</t>
  </si>
  <si>
    <t>999449973</t>
  </si>
  <si>
    <t>FABIANA ROSSATO TRINDADE</t>
  </si>
  <si>
    <t>988598799</t>
  </si>
  <si>
    <t>4731800-Comércio varejista de combustíveis para veículos automotores\4930201-Transporte rodoviário de carga, exceto produtos perigosos e mudanças, municipal\5211701-Armazéns gerais - emissão de warrant\5223100-Estacionamento de veículos\5250803-Agenciamento de cargas, exceto para o transporte marítimo\7711000-Locação de automóveis sem condutor\7820500-Locação de mão de obra temporária\8111700-Serviços combinados para apoio a edifícios, exceto condomínios prediais</t>
  </si>
  <si>
    <t>90246629-07</t>
  </si>
  <si>
    <t>07.298.131/0001-46</t>
  </si>
  <si>
    <t>CYA VERDE LOGISTICA LTDA</t>
  </si>
  <si>
    <t>CIA VERDE</t>
  </si>
  <si>
    <t>3/29/2005</t>
  </si>
  <si>
    <t>JOAO FREDERICO FOERSTER</t>
  </si>
  <si>
    <t>87</t>
  </si>
  <si>
    <t>PINHEIRINHO</t>
  </si>
  <si>
    <t>81150340</t>
  </si>
  <si>
    <t>987868376</t>
  </si>
  <si>
    <t>991569448</t>
  </si>
  <si>
    <t>31334050</t>
  </si>
  <si>
    <t>FINACEIRO@TRANSVIAVERDE.COM.BR</t>
  </si>
  <si>
    <t>NFE@CIAVERDELOG.COM.BR</t>
  </si>
  <si>
    <t>ELISEU PRADO</t>
  </si>
  <si>
    <t>999751250</t>
  </si>
  <si>
    <t>MICHELE CAROLINE PRADO RUDEK</t>
  </si>
  <si>
    <t>991493322</t>
  </si>
  <si>
    <t>4930201-Transporte rodoviário de carga, exceto produtos perigosos e mudanças, municipal\5211701-Armazéns gerais - emissão de warrant\5212500-Carga e descarga\7711000-Locação de automóveis sem condutor</t>
  </si>
  <si>
    <t>90391018-63</t>
  </si>
  <si>
    <t>04.431.781/0001-20</t>
  </si>
  <si>
    <t>PLAYVENDER INTERNATIONAL LTDA</t>
  </si>
  <si>
    <t>ZOELO SOLA</t>
  </si>
  <si>
    <t>AREAS B1 B2 E B3</t>
  </si>
  <si>
    <t>TRIANGULO</t>
  </si>
  <si>
    <t>TRES RIOS</t>
  </si>
  <si>
    <t>25820180</t>
  </si>
  <si>
    <t>998719244</t>
  </si>
  <si>
    <t>998853321</t>
  </si>
  <si>
    <t>999029232</t>
  </si>
  <si>
    <t>22518118</t>
  </si>
  <si>
    <t>EDUARDO@FINTERNATIONAL.COM.BR</t>
  </si>
  <si>
    <t>BRUNA.ALMEIDA@FINTERNATIONAL.COM.BR</t>
  </si>
  <si>
    <t>CHRISTIANBUNEL@FINTERNATIONAL.COM.BR</t>
  </si>
  <si>
    <t>AGROPECUARIA E PARTICIPACOES NOVA CAMPOS LTDA</t>
  </si>
  <si>
    <t>CLAUDIO RENATO DA NOVA CAMPOS</t>
  </si>
  <si>
    <t>977319791</t>
  </si>
  <si>
    <t>2869100-Fabricação de máquinas e equipamentos para uso industrial específico não especificados anteriormente, peças e acessórios\4623106-Comércio atacadista de sementes, flores, plantas e gramas\4623199-Comércio atacadista de matérias-primas agrícolas não especificadas anteriormente\4632001-Comércio atacadista de cereais e leguminosas beneficiados\4634603-Comércio atacadista de pescados e frutos do mar\4635401-Comércio atacadista de água mineral\4635402-Comércio atacadista de cerveja, chope e refrigerante\4635403-Comércio atacadista de bebidas com atividade de fracionamento e acondicionamento associada\4635499-Comércio atacadista de bebidas não especificadas anteriormente\4637199-Comércio atacadista especializado em outros produtos alimentícios não especificados anteriormente\4639701-Comércio atacadista de produtos alimentícios em geral\4644301-Comércio atacadista de medicamentos e drogas de uso humano\4645101-Comércio atacadista de instrumentos e materiais para uso médico, cirúrgico, hospitalar e de laboratórios\4646001-Comércio atacadista de cosméticos e produtos de perfumaria\4646002-Comércio atacadista de produtos de higiene pessoal\4649401-Comércio atacadista de equipamentos elétricos de uso pessoal e doméstico\4663000-Comércio atacadista de máquinas e equipamentos para uso industrial, partes e peças\4684299-Comércio atacadista de outros produtos químicos e petroquímicos não especificados anteriormente\4789005-Comércio varejista de produtos saneantes domissanitários\5232000-Atividades de agenciamento marítimo\5250801-Comissaria de despachos\5250803-Agenciamento de cargas, exceto para o transporte marítimo\6463800-Outras sociedades de participação, exceto holdings\7490104-Atividades de intermediação e agenciamento de serviços e negócios em geral, exceto imobiliários\7739099-Aluguel de outras máquinas e equipamentos comerciais e industriais não especificados anteriormente, sem operador\</t>
  </si>
  <si>
    <t>75.474.407</t>
  </si>
  <si>
    <t>87.548.038/0001-81</t>
  </si>
  <si>
    <t>ANDERLE-TRANSPORTES LTDA</t>
  </si>
  <si>
    <t>ANDERLE TRANSPORTES</t>
  </si>
  <si>
    <t>11/7/1972</t>
  </si>
  <si>
    <t>ANGELINA BARBERINA TOMASI FRACALOSSI</t>
  </si>
  <si>
    <t>25</t>
  </si>
  <si>
    <t>SAO VALENTIN</t>
  </si>
  <si>
    <t>95709410</t>
  </si>
  <si>
    <t>991130702</t>
  </si>
  <si>
    <t>999040958</t>
  </si>
  <si>
    <t>991581200</t>
  </si>
  <si>
    <t>25212173</t>
  </si>
  <si>
    <t>ANDERLE@ANDERLETRANSPORTES.COM.BR</t>
  </si>
  <si>
    <t>ANDE@ITALNET.COM.BR</t>
  </si>
  <si>
    <t>CELSO ANDERLE</t>
  </si>
  <si>
    <t>984092662</t>
  </si>
  <si>
    <t>CESAR ANDERLE</t>
  </si>
  <si>
    <t>991956391</t>
  </si>
  <si>
    <t>4930201-Transporte rodoviário de carga, exceto produtos perigosos e mudanças, municipal\5250803-Agenciamento de cargas, exceto para o transporte marítimo</t>
  </si>
  <si>
    <t>010/0045111</t>
  </si>
  <si>
    <t>03.523.549/0001-59</t>
  </si>
  <si>
    <t>TRANSBEN TRANSPORTES LTDA</t>
  </si>
  <si>
    <t>11/23/1999</t>
  </si>
  <si>
    <t>PRIMEIRO DE MAIO</t>
  </si>
  <si>
    <t>GALPAOA</t>
  </si>
  <si>
    <t>BRUSQUE</t>
  </si>
  <si>
    <t>88353202</t>
  </si>
  <si>
    <t>991918454</t>
  </si>
  <si>
    <t>991196441</t>
  </si>
  <si>
    <t>992264386</t>
  </si>
  <si>
    <t>33500937</t>
  </si>
  <si>
    <t>MARLI.JESUS@TRANSBEN.COM.BR</t>
  </si>
  <si>
    <t>FINANCEIRO@TRANSBEN.COM.BR</t>
  </si>
  <si>
    <t>ADRIANO@TRANSBEN.COM.BR</t>
  </si>
  <si>
    <t>ADRIANO JOSE BENVENUTTI</t>
  </si>
  <si>
    <t>999933591</t>
  </si>
  <si>
    <t>JOSE BENVENUTTI</t>
  </si>
  <si>
    <t>997738257</t>
  </si>
  <si>
    <t>ANDREA APARECIDA BENVENUTTI HANG</t>
  </si>
  <si>
    <t>4520005-Serviços de lavagem, lubrificação e polimento de veículos automotores\4923002-Serviço de transporte de passageiros - locação de automóveis com motorista\4930201-Transporte rodoviário de carga, exceto produtos perigosos e mudanças, municipal\4930203-Transporte rodoviário de produtos perigosos\5211799-Depósitos de mercadorias para terceiros, exceto armazéns gerais e guarda-móveis\5212500-Carga e descarga\5223100-Estacionamento de veículos\5229099-Outras atividades auxiliares dos transportes terrestres não especificadas anteriormente\5250803-Agenciamento de cargas, exceto para o transporte marítimo\5250805-Operador de transporte multimodal - OTM\7490104-Atividades de intermediação e agenciamento de serviços e negócios em geral, exceto imobiliários\7711000-Locação de automóveis sem condutor\7719599-Locação de outros meios de transporte não especificados anteriormente, sem condutor\8129000-Atividades de limpeza não especificadas anteriormente</t>
  </si>
  <si>
    <t>253974747</t>
  </si>
  <si>
    <t>76.667.682/0001-52</t>
  </si>
  <si>
    <t>BUDEL TRANSPORTES LTDA</t>
  </si>
  <si>
    <t>2/23/1983</t>
  </si>
  <si>
    <t>BENJAMIM CLAUDINO BARBOSA</t>
  </si>
  <si>
    <t>13275</t>
  </si>
  <si>
    <t>LOTE FUNDOS</t>
  </si>
  <si>
    <t>ZACARIAS</t>
  </si>
  <si>
    <t>83025323</t>
  </si>
  <si>
    <t>999775171</t>
  </si>
  <si>
    <t>32566452</t>
  </si>
  <si>
    <t>ANDERSON@BUDEL.COM.BR</t>
  </si>
  <si>
    <t>JEANE@BUDEL.COM.BR</t>
  </si>
  <si>
    <t>ANDRESSA.CRUZ@BUDEL.COM.BR</t>
  </si>
  <si>
    <t>MAC ADMINISTRACAO LTDA.</t>
  </si>
  <si>
    <t>999342524</t>
  </si>
  <si>
    <t>MARCUS VINICIUS BUDEL</t>
  </si>
  <si>
    <t>999570531</t>
  </si>
  <si>
    <t>CAMILA BUDEL</t>
  </si>
  <si>
    <t>999355354</t>
  </si>
  <si>
    <t>4313400-Obras de terraplenagem\4511101-Comércio a varejo de automóveis, camionetas e utilitários novos\4511102-Comércio a varejo de automóveis, camionetas e utilitários usados\4923002-Serviço de transporte de passageiros - locação de automóveis com motorista\4929901-Transporte rodoviário coletivo de passageiros, sob regime de fretamento, municipal\4929902-Transporte rodoviário coletivo de passageiros, sob regime de fretamento, intermunicipal, interestadual e internacional\4930201-Transporte rodoviário de carga, exceto produtos perigosos e mudanças, municipal\4930203-Transporte rodoviário de produtos perigosos\5223100-Estacionamento de veículos\7711000-Locação de automóveis sem condutor\7719599-Locação de outros meios de transporte não especificados anteriormente, sem condutor\7731400-Aluguel de máquinas e equipamentos agrícolas sem operador</t>
  </si>
  <si>
    <t>11200435-16</t>
  </si>
  <si>
    <t>53.611.828/0001-42</t>
  </si>
  <si>
    <t>POLIVIAS S/A TRANSPORTES E SERVICOS</t>
  </si>
  <si>
    <t>7/12/1984</t>
  </si>
  <si>
    <t>MOEMA</t>
  </si>
  <si>
    <t>BLOCO A CONJ143</t>
  </si>
  <si>
    <t>4077020</t>
  </si>
  <si>
    <t>982819768</t>
  </si>
  <si>
    <t>982819753</t>
  </si>
  <si>
    <t>991357346</t>
  </si>
  <si>
    <t>50535188</t>
  </si>
  <si>
    <t>CASSIO CIAMPOLINI SAMPAIO BARROS</t>
  </si>
  <si>
    <t>996552318</t>
  </si>
  <si>
    <t>CELIA MARIA NEGRAES SAMPAIO BARROS</t>
  </si>
  <si>
    <t>982819805</t>
  </si>
  <si>
    <t>3314708-Manutenção e reparação de máquinas, equipamentos e aparelhos para transporte e elevação de cargas\4911600-Transporte ferroviário de carga\5021102-Transporte por navegação interior de carga, intermunicipal, interestadual e internacional, exceto travessia\5211799-Depósitos de mercadorias para terceiros, exceto armazéns gerais e guarda-móveis\5212500-Carga e descarga\5229099-Outras atividades auxiliares dos transportes terrestres não especificadas anteriormente\5232000-Atividades de agenciamento marítimo\5250802-Atividades de despachantes aduaneiros\5250803-Agenciamento de cargas, exceto para o transporte marítimo\5250804-Organização logística do transporte de carga\6463800-Outras sociedades de participação, exceto holdings\7711000-Locação de automóveis sem condutor\7719599-Locação de outros meios de transporte não especificados anteriormente, sem condutor\7739099-Aluguel de outras máquinas e equipamentos comerciais e industriais não especificados anteriormente, sem operador</t>
  </si>
  <si>
    <t>111.117.917.118</t>
  </si>
  <si>
    <t>71.040.653/0001-42</t>
  </si>
  <si>
    <t>CNAGA - ARMAZENS GERAIS ALFANDEGADOS LTDA</t>
  </si>
  <si>
    <t>4/10/1968</t>
  </si>
  <si>
    <t>DAS NACOES UNIDAS</t>
  </si>
  <si>
    <t>22452</t>
  </si>
  <si>
    <t>VILA ALMEIDA</t>
  </si>
  <si>
    <t>4795000</t>
  </si>
  <si>
    <t>999606662</t>
  </si>
  <si>
    <t>996330690</t>
  </si>
  <si>
    <t>996295994</t>
  </si>
  <si>
    <t>55451966</t>
  </si>
  <si>
    <t>FISCAL@CNAGA.COM.BR</t>
  </si>
  <si>
    <t>AMERICO@CNAGA.COM.BR</t>
  </si>
  <si>
    <t>ANGELINA@CNAGA.COM.BR</t>
  </si>
  <si>
    <t>JOSE AMERICO RIBEIRO DOS SANTOS</t>
  </si>
  <si>
    <t>956294289</t>
  </si>
  <si>
    <t>ANGELINA RIBEIRO DOS SANTOS</t>
  </si>
  <si>
    <t>942689387</t>
  </si>
  <si>
    <t>AMERICO RIBEIRO DOS SANTOS NETO</t>
  </si>
  <si>
    <t>109.851.964.119</t>
  </si>
  <si>
    <t>57.317.133/0001-03</t>
  </si>
  <si>
    <t>DV3 SOLUCOES LOGISTICAS LTDA</t>
  </si>
  <si>
    <t>DV3 SOLUCOES LOGISTICAS</t>
  </si>
  <si>
    <t>4/13/1987</t>
  </si>
  <si>
    <t>FARJALA MOISES</t>
  </si>
  <si>
    <t>735</t>
  </si>
  <si>
    <t>PARQUE RESIDENCIAL CANDIDO PORTINARI</t>
  </si>
  <si>
    <t>RIBEIRAO PRETO</t>
  </si>
  <si>
    <t>14093524</t>
  </si>
  <si>
    <t>997657500</t>
  </si>
  <si>
    <t>996729164</t>
  </si>
  <si>
    <t>992518011</t>
  </si>
  <si>
    <t>32451755</t>
  </si>
  <si>
    <t>COLLETO@DV3SOLUCOES.COM</t>
  </si>
  <si>
    <t>MARIANA@JADLOCADORA.COM.BR</t>
  </si>
  <si>
    <t>MOISES PAULO SOARES DE CAMPOS</t>
  </si>
  <si>
    <t>999992754</t>
  </si>
  <si>
    <t>ANDERSON MARCHI DAVO</t>
  </si>
  <si>
    <t>999113340</t>
  </si>
  <si>
    <t>MARLENE DE FATIMA MARCHI DAVO</t>
  </si>
  <si>
    <t>4930201-Transporte rodoviário de carga, exceto produtos perigosos e mudanças, municipal\4930203-Transporte rodoviário de produtos perigosos\4930204-Transporte rodoviário de mudanças\5211799-Depósitos de mercadorias para terceiros, exceto armazéns gerais e guarda-móveis\5212500-Carga e descarga\5240199-Atividades auxiliares dos transportes aéreos, exceto operação dos aeroportos e campos de aterrissagem\5250803-Agenciamento de cargas, exceto para o transporte marítimo\5250804-Organização logística do transporte de carga\5320201-Serviços de malote não realizados pelo Correio Nacional\5320202-Serviços de entrega rápida\7711000-Locação de automóveis sem condutor\7719599-Locação de outros meios de transporte não especificados anteriormente, sem condutor</t>
  </si>
  <si>
    <t>797.175.925.111</t>
  </si>
  <si>
    <t>10.535.766/0001-24</t>
  </si>
  <si>
    <t>UNIMETAL TAUBATE INDUSTRIA COMERCIO E EMPREENDIMENTOS LTDA</t>
  </si>
  <si>
    <t>11/18/2008</t>
  </si>
  <si>
    <t>CMS-470</t>
  </si>
  <si>
    <t>SETOR B</t>
  </si>
  <si>
    <t>ITAPAVUSSU</t>
  </si>
  <si>
    <t>COSMOPOLIS</t>
  </si>
  <si>
    <t>13151352</t>
  </si>
  <si>
    <t>981712771</t>
  </si>
  <si>
    <t>32357500</t>
  </si>
  <si>
    <t>A.CURBAGE@BRASILCARBONOS.COM.BR</t>
  </si>
  <si>
    <t>R.ASSUMPCAO@BRASILCARBONOS.COM.BR</t>
  </si>
  <si>
    <t>LUIS GUILHERME STELLA LIMA</t>
  </si>
  <si>
    <t>988222474</t>
  </si>
  <si>
    <t>MAURICIO TUMOLO FILHO</t>
  </si>
  <si>
    <t>966303030</t>
  </si>
  <si>
    <t>UNIMETAL INDUSTRIA COMERCIO E EMPREENDIMENTOS LTDA</t>
  </si>
  <si>
    <t>32357541</t>
  </si>
  <si>
    <t>4930202-Transporte rodoviário de carga, exceto produtos perigosos e mudanças, intermunicipal, interestadual e internacional\5212500-Carga e descarga</t>
  </si>
  <si>
    <t>276.031.274.113</t>
  </si>
  <si>
    <t>55.065.981/0001-47</t>
  </si>
  <si>
    <t>EMPRESA DE TRANSPORTES RODOJACTO LTDA</t>
  </si>
  <si>
    <t>RODOJACTO</t>
  </si>
  <si>
    <t>12/12/1969</t>
  </si>
  <si>
    <t>SP 294 COMANDANTE JOAO RIBEIRO DE BARROS</t>
  </si>
  <si>
    <t>KM 476 SN</t>
  </si>
  <si>
    <t>ORIENTE</t>
  </si>
  <si>
    <t>17570000</t>
  </si>
  <si>
    <t>997976222</t>
  </si>
  <si>
    <t>996720189</t>
  </si>
  <si>
    <t>997244752</t>
  </si>
  <si>
    <t>34052314</t>
  </si>
  <si>
    <t>ROBSON.LUCAS@RODOJACTO.COM.BR</t>
  </si>
  <si>
    <t>PAULO.OLIVA@RODOJACTO.COM.BR</t>
  </si>
  <si>
    <t>ANDRE.OLIVA@RODOJACTO.COM.BR</t>
  </si>
  <si>
    <t>JORGE NISHIMURA</t>
  </si>
  <si>
    <t>981159458</t>
  </si>
  <si>
    <t>LYO NISHIMURA</t>
  </si>
  <si>
    <t>974451397</t>
  </si>
  <si>
    <t>UJI COMERCIO E PARTICIPACOES LIMITADA</t>
  </si>
  <si>
    <t>32093171</t>
  </si>
  <si>
    <t>489.008.161.110</t>
  </si>
  <si>
    <t>13.294.850/0001-91</t>
  </si>
  <si>
    <t>J.A COMERCIO DE GENEROS ALIMENTICIOS E SERVICOS LTDA</t>
  </si>
  <si>
    <t>2/18/2011</t>
  </si>
  <si>
    <t>JOAO AMATO</t>
  </si>
  <si>
    <t>2735</t>
  </si>
  <si>
    <t>CHACARA LAGOA BRANCA</t>
  </si>
  <si>
    <t>CAMPO LIMPO PAULISTA</t>
  </si>
  <si>
    <t>13231620</t>
  </si>
  <si>
    <t>937043889</t>
  </si>
  <si>
    <t>942241131</t>
  </si>
  <si>
    <t>942378961</t>
  </si>
  <si>
    <t>29236321</t>
  </si>
  <si>
    <t>GERENTEADMINISTRATIVO@JALIMENTOS.COM.BR</t>
  </si>
  <si>
    <t>BIRA@JAALIMENTOS.COM.BR</t>
  </si>
  <si>
    <t>TUPANANGIL TRICAI MAGALHAES</t>
  </si>
  <si>
    <t>4617600-Representantes comerciais e agentes do comércio de produtos alimentícios, bebidas e fumo\4634601-Comércio atacadista de carnes bovinas e suínas e derivados\4639701-Comércio atacadista de produtos alimentícios em geral\4684201-Comércio atacadista de resinas e elastômeros\4686902-Comércio atacadista de embalagens\4722901-Comércio varejista de carnes - açougues\4930201-Transporte rodoviário de carga, exceto produtos perigosos e mudanças, municipal\4930202-Transporte rodoviário de carga, exceto produtos perigosos e mudanças, intermunicipal, interestadual e internacional\5211799-Depósitos de mercadorias para terceiros, exceto armazéns gerais e guarda-móveis\8211300-Serviços combinados de escritório e apoio administrativo</t>
  </si>
  <si>
    <t>245.075.776.118</t>
  </si>
  <si>
    <t>47.400.817/0001-10</t>
  </si>
  <si>
    <t>ATIMAKY ESQUADRIAS METALICAS LTDA</t>
  </si>
  <si>
    <t>1/13/1976</t>
  </si>
  <si>
    <t>DOS MAMOEIROS</t>
  </si>
  <si>
    <t>99</t>
  </si>
  <si>
    <t>LOTEAMENTO QUINTA DAS FRUTAS</t>
  </si>
  <si>
    <t>TAUBATE</t>
  </si>
  <si>
    <t>12092520</t>
  </si>
  <si>
    <t>981096111</t>
  </si>
  <si>
    <t>981092444</t>
  </si>
  <si>
    <t>981920809</t>
  </si>
  <si>
    <t>36813366</t>
  </si>
  <si>
    <t>CONTABILIDADE@ATIMAKY.COM</t>
  </si>
  <si>
    <t>ALEXANDER@ATIMAKY.COM.BR</t>
  </si>
  <si>
    <t>COMPLETELINE@ATIMAKY.COM.BR</t>
  </si>
  <si>
    <t>TATEO TAKAHASHI</t>
  </si>
  <si>
    <t>974080020</t>
  </si>
  <si>
    <t>ALEXANDER TATEO SHODO TAKAHASHI</t>
  </si>
  <si>
    <t>996249230</t>
  </si>
  <si>
    <t>ILTON TAKESHI SHODO TAKAHASHI</t>
  </si>
  <si>
    <t>999752513</t>
  </si>
  <si>
    <t>2511000-Fabricação de estruturas metálicas\2949299-Fabricação de outras peças e acessórios para veículos automotores não especificadas anteriormente\4292801-Montagem de estruturas metálicas\4330402-Instalação de portas, janelas, tetos, divisórias e armários embutidos de qualquer material\8211300-Serviços combinados de escritório e apoio administrativo\</t>
  </si>
  <si>
    <t>688.458.021.111</t>
  </si>
  <si>
    <t>54.423.934/0001-65</t>
  </si>
  <si>
    <t>ARANAO TRANSPORTES RODOVIARIOS LTDA</t>
  </si>
  <si>
    <t>4/28/1985</t>
  </si>
  <si>
    <t>BR-116</t>
  </si>
  <si>
    <t>KM 15</t>
  </si>
  <si>
    <t>PEDRAS</t>
  </si>
  <si>
    <t>60874502</t>
  </si>
  <si>
    <t>991314025</t>
  </si>
  <si>
    <t>991510509</t>
  </si>
  <si>
    <t>981012000</t>
  </si>
  <si>
    <t>34223355</t>
  </si>
  <si>
    <t>CELIO@ARANAOTRANSPORTES.COM.BR</t>
  </si>
  <si>
    <t>ARANAO HOLDING PARTICIPACOES LTDA</t>
  </si>
  <si>
    <t>33069074</t>
  </si>
  <si>
    <t>FABIO AGAPITO ARANAO</t>
  </si>
  <si>
    <t>997844808</t>
  </si>
  <si>
    <t>ALEXANDRE AGAPITO ARANAO</t>
  </si>
  <si>
    <t>991279857</t>
  </si>
  <si>
    <t>4520005-Serviços de lavagem, lubrificação e polimento de veículos automotores\4930201-Transporte rodoviário de carga, exceto produtos perigosos e mudanças, municipal\5211799-Depósitos de mercadorias para terceiros, exceto armazéns gerais e guarda-móveis\5212500-Carga e descarga\5223100-Estacionamento de veículos\7711000-Locação de automóveis sem condutor\7739099-Aluguel de outras máquinas e equipamentos comerciais e industriais não especificados anteriormente, sem operador\</t>
  </si>
  <si>
    <t>438.051.413.114</t>
  </si>
  <si>
    <t>83.630.053/0001-13</t>
  </si>
  <si>
    <t>TRANSJOI TRANSPORTES LTDA</t>
  </si>
  <si>
    <t>3/6/1979</t>
  </si>
  <si>
    <t>ANABURGO</t>
  </si>
  <si>
    <t>6708</t>
  </si>
  <si>
    <t>ZONA INDUSTRIAL NORTE</t>
  </si>
  <si>
    <t>89219630</t>
  </si>
  <si>
    <t>995164079</t>
  </si>
  <si>
    <t>40095600</t>
  </si>
  <si>
    <t>RECEBIMENTOFISCAL@TRANSJOI.COM.BR</t>
  </si>
  <si>
    <t>NILSON.GAMBETA@TRANSJOI.COM.BR</t>
  </si>
  <si>
    <t>LUISFISOTTON@TRANSJOI.COM.BR</t>
  </si>
  <si>
    <t>ISO PARTICIPACOES LTDA</t>
  </si>
  <si>
    <t>30262478</t>
  </si>
  <si>
    <t>ALTAIDES ISOTTON JUNIOR</t>
  </si>
  <si>
    <t>JACOMO JOAO ISOTTON NETO</t>
  </si>
  <si>
    <t>999742780</t>
  </si>
  <si>
    <t>3811400-Coleta de resíduos não perigosos\4930201-Transporte rodoviário de carga, exceto produtos perigosos e mudanças, municipal\4930203-Transporte rodoviário de produtos perigosos\5211799-Depósitos de mercadorias para terceiros, exceto armazéns gerais e guarda-móveis</t>
  </si>
  <si>
    <t>257254625</t>
  </si>
  <si>
    <t>60.603.461/0001-80</t>
  </si>
  <si>
    <t>PRIMAX TRANSPORTES PESADOS LTDA</t>
  </si>
  <si>
    <t>11/13/1972</t>
  </si>
  <si>
    <t>MARINA CIUFULI ZANFELICE</t>
  </si>
  <si>
    <t>440</t>
  </si>
  <si>
    <t>LAPA</t>
  </si>
  <si>
    <t>05040000</t>
  </si>
  <si>
    <t>997388807</t>
  </si>
  <si>
    <t>974549285</t>
  </si>
  <si>
    <t>968622970</t>
  </si>
  <si>
    <t>36164700</t>
  </si>
  <si>
    <t>SUPRIMENTOS@PRIMAX.COM.BR</t>
  </si>
  <si>
    <t>SUPRIMENTOS01@PRIMAX.COM.BR</t>
  </si>
  <si>
    <t>PRIMAX@PRIMAX.COM.BR</t>
  </si>
  <si>
    <t>ANTONIO LUIZ LEITE</t>
  </si>
  <si>
    <t>999503343</t>
  </si>
  <si>
    <t>JOAO HENRIQUE LEITE</t>
  </si>
  <si>
    <t>3321000-Instalação de máquinas e equipamentos industriais\4292802-Obras de montagem industrial\4399104-Serviços de operação e fornecimento de equipamentos para transporte e elevação de cargas e pessoas para uso em obras\4930203-Transporte rodoviário de produtos perigosos\4930204-Transporte rodoviário de mudanças\5212500-Carga e descarga\5229099-Outras atividades auxiliares dos transportes terrestres não especificadas anteriormente\5250804-Organização logística do transporte de carga\7112000-Serviços de engenharia\7732201-Aluguel de máquinas e equipamentos para construção sem operador, exceto andaimes\7739099-Aluguel de outras máquinas e equipamentos comerciais e industriais não especificados anteriormente, sem operador\</t>
  </si>
  <si>
    <t>107.734.117.111</t>
  </si>
  <si>
    <t>Carteira de Prospects — Vendedor 4</t>
  </si>
  <si>
    <t>Total de empresas: 46  |  Porte: GRANDE  |  Fonte: Base de prospecção</t>
  </si>
  <si>
    <t>07.160.404/0001-91</t>
  </si>
  <si>
    <t>GRI TOWER BRASIL ESTRUTURAS METALICAS S/A</t>
  </si>
  <si>
    <t>12/23/2004</t>
  </si>
  <si>
    <t>PE-60</t>
  </si>
  <si>
    <t>8.147</t>
  </si>
  <si>
    <t>ZONA INDUSTRIAL DE SUAPE</t>
  </si>
  <si>
    <t>CABO DE SANTO AGOSTINHO</t>
  </si>
  <si>
    <t>54521010</t>
  </si>
  <si>
    <t>981562874</t>
  </si>
  <si>
    <t>981061939</t>
  </si>
  <si>
    <t>996730675</t>
  </si>
  <si>
    <t>21232110</t>
  </si>
  <si>
    <t>OSMAR.ROCHA@GRI.COM.ES</t>
  </si>
  <si>
    <t>ANDRE.APARICIO@GRI.COM.ES</t>
  </si>
  <si>
    <t>ANDRE.SOUZA@GRI.COM.ES</t>
  </si>
  <si>
    <t>OSMAR STELMACH DA ROCHA</t>
  </si>
  <si>
    <t>999999500</t>
  </si>
  <si>
    <t>ANDRE FILIPE DE OLIVEIRA APARICIO</t>
  </si>
  <si>
    <t>999811422</t>
  </si>
  <si>
    <t>ANTONIO FERREIRA</t>
  </si>
  <si>
    <t>2811900-Fabricação de motores e turbinas, peças e acessórios, exceto para aviões e veículos rodoviários\4221902-Construção de estações e redes de distribuição de energia elétrica\4292801-Montagem de estruturas metálicas\4399104-Serviços de operação e fornecimento de equipamentos para transporte e elevação de cargas e pessoas para uso em obras\4930202-Transporte rodoviário de carga, exceto produtos perigosos e mudanças, intermunicipal, interestadual e internacional\5211799-Depósitos de mercadorias para terceiros, exceto armazéns gerais e guarda-móveis\5250804-Organização logística do transporte de carga\6463800-Outras sociedades de participação, exceto holdings\6810201-Compra e venda de imóveis próprios\6810202-Aluguel de imóveis próprios\7020400-Atividades de consultoria em gestão empresarial, exceto consultoria técnica específica\</t>
  </si>
  <si>
    <t>037784870</t>
  </si>
  <si>
    <t>04.414.488/0001-54</t>
  </si>
  <si>
    <t>METALFINO DA AMAZONIA LTDA</t>
  </si>
  <si>
    <t>5/24/1982</t>
  </si>
  <si>
    <t>IPE</t>
  </si>
  <si>
    <t>194</t>
  </si>
  <si>
    <t>DISTRITO INDUSTRIAL I</t>
  </si>
  <si>
    <t>MANAUS</t>
  </si>
  <si>
    <t>69075100</t>
  </si>
  <si>
    <t>92</t>
  </si>
  <si>
    <t>993717288</t>
  </si>
  <si>
    <t>993215017</t>
  </si>
  <si>
    <t>992662867</t>
  </si>
  <si>
    <t>21299754</t>
  </si>
  <si>
    <t>FISCAL@METALFINOAM.COM.BR</t>
  </si>
  <si>
    <t>METTS CORPORATION</t>
  </si>
  <si>
    <t>ROBERTO HACHIYA SAEKI</t>
  </si>
  <si>
    <t>SOCIO PESSOA FISICA RESIDENTE NO EXTERIOR</t>
  </si>
  <si>
    <t>NANCY HACHIYA SAEKI</t>
  </si>
  <si>
    <t>991360674</t>
  </si>
  <si>
    <t>2941700-Fabricação de peças e acessórios para o sistema motor de veículos automotores\2944100-Fabricação de peças e acessórios para o sistema de direção e suspensão de veículos automotores\3091102-Fabricação de peças e acessórios para motocicletas\</t>
  </si>
  <si>
    <t>04.143.508-7</t>
  </si>
  <si>
    <t>83.303.404/0001-81</t>
  </si>
  <si>
    <t>TRANSPORTES GRAL LTDA</t>
  </si>
  <si>
    <t>7/31/1967</t>
  </si>
  <si>
    <t>SAO PEDRO - E</t>
  </si>
  <si>
    <t>2850</t>
  </si>
  <si>
    <t>ENGENHO BRAUN</t>
  </si>
  <si>
    <t>89809440</t>
  </si>
  <si>
    <t>999813456</t>
  </si>
  <si>
    <t>991396298</t>
  </si>
  <si>
    <t>991314827</t>
  </si>
  <si>
    <t>33195300</t>
  </si>
  <si>
    <t>FINANCEIRO1@TRANSPORTESGRAL.COM.BR</t>
  </si>
  <si>
    <t>FINANCEIRO@TRANSPORTESGRAL.COM.BR</t>
  </si>
  <si>
    <t>ETELVINO GRAL</t>
  </si>
  <si>
    <t>999905427</t>
  </si>
  <si>
    <t>LENOIR GRAL</t>
  </si>
  <si>
    <t>999490907</t>
  </si>
  <si>
    <t>GERSON GRAL</t>
  </si>
  <si>
    <t>999870632</t>
  </si>
  <si>
    <t>4930201-Transporte rodoviário de carga, exceto produtos perigosos e mudanças, municipal\4930203-Transporte rodoviário de produtos perigosos</t>
  </si>
  <si>
    <t>251791750</t>
  </si>
  <si>
    <t>92.751.858/0001-06</t>
  </si>
  <si>
    <t>INDUSTRIA DE PLASTICOS HERC LTDA</t>
  </si>
  <si>
    <t>8/3/1966</t>
  </si>
  <si>
    <t>SEVERO DULLIUS</t>
  </si>
  <si>
    <t>E 360</t>
  </si>
  <si>
    <t>ANCHIETA</t>
  </si>
  <si>
    <t>90200310</t>
  </si>
  <si>
    <t>999136262</t>
  </si>
  <si>
    <t>999667418</t>
  </si>
  <si>
    <t>999835593</t>
  </si>
  <si>
    <t>30215221</t>
  </si>
  <si>
    <t>FISCAL@HERC.COM.BR</t>
  </si>
  <si>
    <t>SUSANA@HERC.COM.BR</t>
  </si>
  <si>
    <t>CFW ADMINISTRACAO E PARTICIPACOES LTDA.</t>
  </si>
  <si>
    <t>34702750</t>
  </si>
  <si>
    <t>RD ADMINISTRACAO E PARTICIPACOES - SOCIEDADE SIMPLES</t>
  </si>
  <si>
    <t>33426247</t>
  </si>
  <si>
    <t>RUBIMAR GEHLEN DA SILVA</t>
  </si>
  <si>
    <t>096/0023020</t>
  </si>
  <si>
    <t>89.848.782/0001-27</t>
  </si>
  <si>
    <t>FRIGORIFICO CHESINI SA EM RECUPERACAO JUDICIAL</t>
  </si>
  <si>
    <t>FRIGORIFICO CHESINI</t>
  </si>
  <si>
    <t>8/15/1969</t>
  </si>
  <si>
    <t>RICA DISTRITO</t>
  </si>
  <si>
    <t>1810</t>
  </si>
  <si>
    <t>INTERIOR</t>
  </si>
  <si>
    <t>GARIBALDI</t>
  </si>
  <si>
    <t>95720000</t>
  </si>
  <si>
    <t>996899629</t>
  </si>
  <si>
    <t>999936069</t>
  </si>
  <si>
    <t>996030503</t>
  </si>
  <si>
    <t>34647790</t>
  </si>
  <si>
    <t>CONTABIL@CHESINI.COM.BR</t>
  </si>
  <si>
    <t>HILARIO CHESINI</t>
  </si>
  <si>
    <t>999066024</t>
  </si>
  <si>
    <t>ALCINO CHESINI</t>
  </si>
  <si>
    <t>999770238</t>
  </si>
  <si>
    <t>WILMAR EDUARDO CHESINI</t>
  </si>
  <si>
    <t>0151201-Criação de bovinos para corte\0154700-Criação de suínos\0155501-Criação de frangos para corte\0155502-Produção de pintos de um dia\0155505-Produção de ovos\0159899-Criação de outros animais não especificados anteriormente\0161099-Atividades de apoio à agricultura não especificadas anteriormente\1013901-Fabricação de produtos de carne\1013902-Preparação de subprodutos do abate\1066000-Fabricação de alimentos para animais\4634601-Comércio atacadista de carnes bovinas e suínas e derivados\4634602-Comércio atacadista de aves abatidas e derivados\4634699-Comércio atacadista de carnes e derivados de outros animais\4930201-Transporte rodoviário de carga, exceto produtos perigosos e mudanças, municipal\4930202-Transporte rodoviário de carga, exceto produtos perigosos e mudanças, intermunicipal, interestadual e internacional\</t>
  </si>
  <si>
    <t>045/0000354</t>
  </si>
  <si>
    <t>06.982.156/0001-00</t>
  </si>
  <si>
    <t>SADEFEM EQUIPAMENTOS E MONTAGENS S/A. - EM RECUPERACAO JUDICIAL</t>
  </si>
  <si>
    <t>SADEFEM</t>
  </si>
  <si>
    <t>9/9/2004</t>
  </si>
  <si>
    <t>MANUEL DE ABREU</t>
  </si>
  <si>
    <t>2445</t>
  </si>
  <si>
    <t>ANEXO PARTE</t>
  </si>
  <si>
    <t>VILA SEDENHO</t>
  </si>
  <si>
    <t>ARARAQUARA</t>
  </si>
  <si>
    <t>14806500</t>
  </si>
  <si>
    <t>21272861</t>
  </si>
  <si>
    <t>SADEFEM@SADEFEM.COM.BR</t>
  </si>
  <si>
    <t>IRAJA GALLIANO ANDRADE</t>
  </si>
  <si>
    <t>961805476</t>
  </si>
  <si>
    <t>RODOLFO ANDRIANI</t>
  </si>
  <si>
    <t>981752157</t>
  </si>
  <si>
    <t>2790299-Fabricação de outros equipamentos e aparelhos elétricos não especificados anteriormente\4221902-Construção de estações e redes de distribuição de energia elétrica\4685100-Comércio atacadista de produtos siderúrgicos e metalúrgicos, exceto para construção\7112000-Serviços de engenharia</t>
  </si>
  <si>
    <t>181.442.695.118</t>
  </si>
  <si>
    <t>17.381.542/0001-54</t>
  </si>
  <si>
    <t>FUNDIMIG INDUSTRIA DE PECAS E COMPONENTES LTDA</t>
  </si>
  <si>
    <t>FUNDIMIG</t>
  </si>
  <si>
    <t>6/3/1982</t>
  </si>
  <si>
    <t>ANTONIO</t>
  </si>
  <si>
    <t>142</t>
  </si>
  <si>
    <t>CX 20</t>
  </si>
  <si>
    <t>CLAUDIO</t>
  </si>
  <si>
    <t>35530000</t>
  </si>
  <si>
    <t>998247097</t>
  </si>
  <si>
    <t>998277008</t>
  </si>
  <si>
    <t>998253336</t>
  </si>
  <si>
    <t>33819700</t>
  </si>
  <si>
    <t>RH@FUNDIMIG.COM.BR</t>
  </si>
  <si>
    <t>ADRIANO.CAMPOS@FUNDIMIG.COM.BR</t>
  </si>
  <si>
    <t>ADRIANO.MARTINS@FUNDIMIG.COM.BR</t>
  </si>
  <si>
    <t>ADRIANO LENZ CAMPOS</t>
  </si>
  <si>
    <t>999813210</t>
  </si>
  <si>
    <t>BRAULIO CAMPOS JUNIOR</t>
  </si>
  <si>
    <t>991194898</t>
  </si>
  <si>
    <t>2452100-Fundição de metais não ferrosos e suas ligas\2751100-Fabricação de fogões, refrigeradores e máquinas de lavar e secar para uso doméstico, peças e acessórios\2943300-Fabricação de peças e acessórios para o sistema de freios de veículos automotores\4930202-Transporte rodoviário de carga, exceto produtos perigosos e mudanças, intermunicipal, interestadual e internacional\6463800-Outras sociedades de participação, exceto holdings\</t>
  </si>
  <si>
    <t>166394582.00-10</t>
  </si>
  <si>
    <t>08.199.996/0001-18</t>
  </si>
  <si>
    <t>JBS AVES LTDA.</t>
  </si>
  <si>
    <t>JBS FRANGOSUL</t>
  </si>
  <si>
    <t>7/21/2006</t>
  </si>
  <si>
    <t>MARGINAL DIREITA DO TIETE</t>
  </si>
  <si>
    <t>BLOCO I ANDAR 2</t>
  </si>
  <si>
    <t>05118100</t>
  </si>
  <si>
    <t>991596050</t>
  </si>
  <si>
    <t>991595227</t>
  </si>
  <si>
    <t>BONI@JBS.COM.BR</t>
  </si>
  <si>
    <t>SEARA ALIMENTOS LTDA</t>
  </si>
  <si>
    <t>31444078</t>
  </si>
  <si>
    <t>GILBERTO TOMAZONI</t>
  </si>
  <si>
    <t>991301452</t>
  </si>
  <si>
    <t>JOAO FRANCISCO ALMEIDA DE FREITAS CAMPOS</t>
  </si>
  <si>
    <t>991513266</t>
  </si>
  <si>
    <t>0154700-Criação de suínos\0155501-Criação de frangos para corte\0155503-Criação de outros galináceos, exceto para corte\0155505-Produção de ovos\0210101-Cultivo de eucalipto\1012103-Frigorífico - abate de suínos\1013901-Fabricação de produtos de carne\1013902-Preparação de subprodutos do abate\1032599-Fabricação de conservas de legumes e outros vegetais, exceto palmito\1066000-Fabricação de alimentos para animais\4623109-Comércio atacadista de alimentos para animais\4634601-Comércio atacadista de carnes bovinas e suínas e derivados\4634602-Comércio atacadista de aves abatidas e derivados\4637105-Comércio atacadista de massas alimentícias\4637199-Comércio atacadista especializado em outros produtos alimentícios não especificados anteriormente\4644302-Comércio atacadista de medicamentos e drogas de uso veterinário\4930202-Transporte rodoviário de carga, exceto produtos perigosos e mudanças, intermunicipal, interestadual e internacional\5211701-Armazéns gerais - emissão de warrant\5211799-Depósitos de mercadorias para terceiros, exceto armazéns gerais e guarda-móveis\7120100-Testes e análises técnicas\7490104-Atividades de intermediação e agenciamento de serviços e negócios em geral, exceto imobiliários\8211300-Serviços combinados de escritório e apoio administrativo\8219999-Preparação de documentos e serviços especializados de apoio administrativo não especificados anteriormente\</t>
  </si>
  <si>
    <t>149.624.203.118</t>
  </si>
  <si>
    <t>06.227.309/0001-03</t>
  </si>
  <si>
    <t>FRIESP ALIMENTOS S.A - EM RECUPERACAO JUDICIAL</t>
  </si>
  <si>
    <t>FRIGORIFICO ESPERANCA</t>
  </si>
  <si>
    <t>5/3/2004</t>
  </si>
  <si>
    <t>BARRO VERMELHO</t>
  </si>
  <si>
    <t>KM 4 ANEL ROD BR 369</t>
  </si>
  <si>
    <t>BOA ESPERANCA</t>
  </si>
  <si>
    <t>37170000</t>
  </si>
  <si>
    <t>997608870</t>
  </si>
  <si>
    <t>992642446</t>
  </si>
  <si>
    <t>38511871</t>
  </si>
  <si>
    <t>ANA.TEODORO@FRIESP.COM.BR</t>
  </si>
  <si>
    <t>MAURICIO@FRIESP.COM.BR</t>
  </si>
  <si>
    <t>MAURICIO REIS LIMA</t>
  </si>
  <si>
    <t>995944389</t>
  </si>
  <si>
    <t>MARCELO REIS LIMA</t>
  </si>
  <si>
    <t>988811875</t>
  </si>
  <si>
    <t>0151201-Criação de bovinos para corte\0162899-Atividades de apoio à pecuária não especificadas anteriormente\1012103-Frigorífico - abate de suínos\1013902-Preparação de subprodutos do abate\4623101-Comércio atacadista de animais vivos\4623102-Comércio atacadista de couros, lãs, peles e outros subprodutos não comestíveis de origem animal\4930202-Transporte rodoviário de carga, exceto produtos perigosos e mudanças, intermunicipal, interestadual e internacional\</t>
  </si>
  <si>
    <t>001152152.00-46</t>
  </si>
  <si>
    <t>27.275.197/0001-28</t>
  </si>
  <si>
    <t>PROTEINORTE ALIMENTOS SA</t>
  </si>
  <si>
    <t>KIFRANGO</t>
  </si>
  <si>
    <t>1/16/1976</t>
  </si>
  <si>
    <t>HENRIQUE DE COIMBRA</t>
  </si>
  <si>
    <t>469</t>
  </si>
  <si>
    <t>INTERLAGOS</t>
  </si>
  <si>
    <t>LINHARES</t>
  </si>
  <si>
    <t>29903105</t>
  </si>
  <si>
    <t>999463340</t>
  </si>
  <si>
    <t>999578085</t>
  </si>
  <si>
    <t>21031133</t>
  </si>
  <si>
    <t>CTB@KIFRANGO.COM.BR</t>
  </si>
  <si>
    <t>ADELINO.OLIVEIRA@KIFRANGO.COM.BR</t>
  </si>
  <si>
    <t>ELDER.MARIM@KIFRANGO.COM.BR</t>
  </si>
  <si>
    <t>HERCULES MARIN</t>
  </si>
  <si>
    <t>999841039</t>
  </si>
  <si>
    <t>ELDER ELIAS GIORDANO MARIM</t>
  </si>
  <si>
    <t>992643939</t>
  </si>
  <si>
    <t>FERNANDO ANTONIO MARIN</t>
  </si>
  <si>
    <t>996395223</t>
  </si>
  <si>
    <t>1013901-Fabricação de produtos de carne\1013902-Preparação de subprodutos do abate\1066000-Fabricação de alimentos para animais\1096100-Fabricação de alimentos e pratos prontos\4634699-Comércio atacadista de carnes e derivados de outros animais\4639701-Comércio atacadista de produtos alimentícios em geral</t>
  </si>
  <si>
    <t>080.636.60-8</t>
  </si>
  <si>
    <t>54.834.007/0001-38</t>
  </si>
  <si>
    <t>ESSEMAGA LOGISTICA E TRANSPORTES LTDA</t>
  </si>
  <si>
    <t>8/28/1985</t>
  </si>
  <si>
    <t>DOUTOR ALBERT SCHWEITZER</t>
  </si>
  <si>
    <t>2650</t>
  </si>
  <si>
    <t>11095520</t>
  </si>
  <si>
    <t>997115034</t>
  </si>
  <si>
    <t>32294700</t>
  </si>
  <si>
    <t>MAIARA.VIEIRA@SMAGALHAES.COM.BR</t>
  </si>
  <si>
    <t>JEISON.FRANCA@ESSEMAGA.COM.BR</t>
  </si>
  <si>
    <t>ALEX.SANTOS@ESSEMAGA.COM.BR</t>
  </si>
  <si>
    <t>FERNANDO DA CUNHA MAGALHAES JUNIOR</t>
  </si>
  <si>
    <t>997112882</t>
  </si>
  <si>
    <t>S.MAGALHAES S.A. LOGISTICA EM COMERCIO EXTERIOR</t>
  </si>
  <si>
    <t>PETER FREY JUNIOR</t>
  </si>
  <si>
    <t>997563300</t>
  </si>
  <si>
    <t>4930203-Transporte rodoviário de produtos perigosos\5211701-Armazéns gerais - emissão de warrant\5212500-Carga e descarga\5229099-Outras atividades auxiliares dos transportes terrestres não especificadas anteriormente\5232000-Atividades de agenciamento marítimo\5250801-Comissaria de despachos\5250803-Agenciamento de cargas, exceto para o transporte marítimo\</t>
  </si>
  <si>
    <t>633.215.410.116</t>
  </si>
  <si>
    <t>93.966.828/0001-80</t>
  </si>
  <si>
    <t>CONE SUL SOLUCOES AMBIENTAIS LTDA.</t>
  </si>
  <si>
    <t>4/23/1991</t>
  </si>
  <si>
    <t>SARMENTO LEITE</t>
  </si>
  <si>
    <t>876</t>
  </si>
  <si>
    <t>2O PISOSALAB</t>
  </si>
  <si>
    <t>CENTRO HISTORICO</t>
  </si>
  <si>
    <t>90050170</t>
  </si>
  <si>
    <t>32861393</t>
  </si>
  <si>
    <t>CONTABILIDADE@CONESULRS.COM.BR</t>
  </si>
  <si>
    <t>JOVAINA@STADTBUS.COM.BR</t>
  </si>
  <si>
    <t>GEFERSON PAULO TOLOTTI</t>
  </si>
  <si>
    <t>981492402</t>
  </si>
  <si>
    <t>3702900-Atividades relacionadas a esgoto, exceto a gestão de redes\3811400-Coleta de resíduos não perigosos\3812200-Coleta de resíduos perigosos\3821100-Tratamento e disposição de resíduos não perigosos\3822000-Tratamento e disposição de resíduos perigosos\3839401-Usinas de compostagem\3839499-Recuperação de materiais não especificados anteriormente\4110700-Incorporação de empreendimentos imobiliários\4211101-Construção de rodovias e ferrovias\4222701-Construção de redes de abastecimento de água, coleta de esgoto e construções correlatas, exceto obras de irrigação\4313400-Obras de terraplenagem\4399105-Perfuração e construção de poços de água\4687701-Comércio atacadista de resíduos de papel e papelão\4687702-Comércio atacadista de resíduos e sucatas não metálicos, exceto de papel e papelão\4924800-Transporte escolar\4929901-Transporte rodoviário coletivo de passageiros, sob regime de fretamento, municipal\4929902-Transporte rodoviário coletivo de passageiros, sob regime de fretamento, intermunicipal, interestadual e internacional\4930201-Transporte rodoviário de carga, exceto produtos perigosos e mudanças, municipal\4930203-Transporte rodoviário de produtos perigosos\7719599-Locação de outros meios de transporte não especificados anteriormente, sem condutor\7732201-Aluguel de máquinas e equipamentos para construção sem operador, exceto andaimes\8111700-Serviços combinados para apoio a edifícios, exceto condomínios prediais\8129000-Atividades de limpeza não especificadas anteriormente\</t>
  </si>
  <si>
    <t>096/3382268</t>
  </si>
  <si>
    <t>56.990.526/0001-10</t>
  </si>
  <si>
    <t>MARTINREA HONSEL BRASIL FUNDICAO E COMERCIO DE PECAS EM ALUMINIO LTDA.</t>
  </si>
  <si>
    <t>MARTINREA-HONSEL</t>
  </si>
  <si>
    <t>2/28/1994</t>
  </si>
  <si>
    <t>MAGAL</t>
  </si>
  <si>
    <t>4</t>
  </si>
  <si>
    <t>TERRA PRETA</t>
  </si>
  <si>
    <t>MONTE MOR</t>
  </si>
  <si>
    <t>13199310</t>
  </si>
  <si>
    <t>999961335</t>
  </si>
  <si>
    <t>996130963</t>
  </si>
  <si>
    <t>998265944</t>
  </si>
  <si>
    <t>38899300</t>
  </si>
  <si>
    <t>COMERCIAL@MARTINREA.COM</t>
  </si>
  <si>
    <t>FABIANA.TILLI@MARTINREA.COM</t>
  </si>
  <si>
    <t>RONALDO.GRILLO@MARTINREA-HONSEL.COM</t>
  </si>
  <si>
    <t>2244760 ONTARIO INC.</t>
  </si>
  <si>
    <t>GUILLERMO LOPEZ JUAREZ</t>
  </si>
  <si>
    <t>2531402-Produção de forjados de metais não ferrosos e suas ligas\2539001-Serviços de usinagem, torneiria e solda\2651500-Fabricação de aparelhos e equipamentos de medida, teste e controle\2815101-Fabricação de rolamentos para fins industriais\2815102-Fabricação de equipamentos de transmissão para fins industriais, exceto rolamentos\2930101-Fabricação de cabines, carrocerias e reboques para caminhões\2930102-Fabricação de carrocerias para ônibus\2930103-Fabricação de cabines, carrocerias e reboques para outros veículos automotores, exceto caminhões e ônibus\2941700-Fabricação de peças e acessórios para o sistema motor de veículos automotores\2942500-Fabricação de peças e acessórios para os sistemas de marcha e transmissão de veículos automotores\2943300-Fabricação de peças e acessórios para o sistema de freios de veículos automotores\4663000-Comércio atacadista de máquinas e equipamentos para uso industrial, partes e peças</t>
  </si>
  <si>
    <t>465.005.854.115</t>
  </si>
  <si>
    <t>04.721.589/0001-78</t>
  </si>
  <si>
    <t>TEAG - TERMINAL DE EXPORTACAO DE ACUCAR DO GUARUJA LTDA.</t>
  </si>
  <si>
    <t>TEAG - GUARUJA</t>
  </si>
  <si>
    <t>10/1/2001</t>
  </si>
  <si>
    <t>BENTO PEDRO DA COSTA</t>
  </si>
  <si>
    <t>CONCEICAOZINHA</t>
  </si>
  <si>
    <t>GUARUJA</t>
  </si>
  <si>
    <t>11472000</t>
  </si>
  <si>
    <t>33081800</t>
  </si>
  <si>
    <t>VIVIANE_ANDRADE@TEGPORTO.COM.BR</t>
  </si>
  <si>
    <t>ALISON_OLIVEIRA@TEGPORTO.COM.BR</t>
  </si>
  <si>
    <t>CARGILL AGRICOLA S A</t>
  </si>
  <si>
    <t>50993311</t>
  </si>
  <si>
    <t>REGIS GILBERTO PRUNZEL</t>
  </si>
  <si>
    <t>982070027</t>
  </si>
  <si>
    <t>RICARDO NASCIMBENI</t>
  </si>
  <si>
    <t>982175225</t>
  </si>
  <si>
    <t>5211799-Depósitos de mercadorias para terceiros, exceto armazéns gerais e guarda-móveis\5212500-Carga e descarga\5231101-Administração da infraestrutura portuária\</t>
  </si>
  <si>
    <t>335.127.598.119</t>
  </si>
  <si>
    <t>19.159.201/0001-64</t>
  </si>
  <si>
    <t>TRACAO S/A</t>
  </si>
  <si>
    <t>4/7/1976</t>
  </si>
  <si>
    <t>700</t>
  </si>
  <si>
    <t>AP 7 PREDIO II</t>
  </si>
  <si>
    <t>VESPASIANO</t>
  </si>
  <si>
    <t>33200000</t>
  </si>
  <si>
    <t>21382220</t>
  </si>
  <si>
    <t>LUIS MARIA SALAZAR COUTO CHAMPALIMAUD</t>
  </si>
  <si>
    <t>LUIS DE MELO CHAMPALIMAUD</t>
  </si>
  <si>
    <t>712629650.00-24</t>
  </si>
  <si>
    <t>00.868.626/0001-14</t>
  </si>
  <si>
    <t>PROACO INDUSTRIA METALURGICA S.A.</t>
  </si>
  <si>
    <t>4120400</t>
  </si>
  <si>
    <t>Construção de edifícios</t>
  </si>
  <si>
    <t>10/19/1995</t>
  </si>
  <si>
    <t>EVALDO PRIM</t>
  </si>
  <si>
    <t>DT INDUSTRIAL</t>
  </si>
  <si>
    <t>ITUPORANGA</t>
  </si>
  <si>
    <t>88400000</t>
  </si>
  <si>
    <t>996830004</t>
  </si>
  <si>
    <t>35338600</t>
  </si>
  <si>
    <t>COMPRAS@PROACO.IND.BR</t>
  </si>
  <si>
    <t>ADRIANA.ROSA@PROACO.IND.BR</t>
  </si>
  <si>
    <t>ADRIANA.VIEIRA@PROACO.IND.BR</t>
  </si>
  <si>
    <t>TANIA MARIZE PEREIRA PRIM</t>
  </si>
  <si>
    <t>SILVIO PRIM</t>
  </si>
  <si>
    <t>992527555</t>
  </si>
  <si>
    <t>ALAN RICARDO PRIM</t>
  </si>
  <si>
    <t>988320888</t>
  </si>
  <si>
    <t>2330301-Fabricação de estruturas pré-moldadas de concreto armado, em série e sob encomenda\2511000-Fabricação de estruturas metálicas\2532201-Produção de artefatos estampados de metal\4110700-Incorporação de empreendimentos imobiliários\4292801-Montagem de estruturas metálicas\4930202-Transporte rodoviário de carga, exceto produtos perigosos e mudanças, intermunicipal, interestadual e internacional\5229002-Serviços de reboque de veículos\7732201-Aluguel de máquinas e equipamentos para construção sem operador, exceto andaimes\7732202-Aluguel de andaimes\</t>
  </si>
  <si>
    <t>253149975</t>
  </si>
  <si>
    <t>54.515.309/0001-43</t>
  </si>
  <si>
    <t>FBM FUNDICAO BRASILEIRA DE METAIS LTDA</t>
  </si>
  <si>
    <t>6/24/1985</t>
  </si>
  <si>
    <t>PRESIDENTE WILSON</t>
  </si>
  <si>
    <t>1707</t>
  </si>
  <si>
    <t>MOOCA</t>
  </si>
  <si>
    <t>3107001</t>
  </si>
  <si>
    <t>943119688</t>
  </si>
  <si>
    <t>972091744</t>
  </si>
  <si>
    <t>941409052</t>
  </si>
  <si>
    <t>20657899</t>
  </si>
  <si>
    <t>FBM@FBM.IND.BR</t>
  </si>
  <si>
    <t>FELIPE@FBM.IND.BR</t>
  </si>
  <si>
    <t>RAFAEL@FBM.IND.BR</t>
  </si>
  <si>
    <t>RE2 PARTICIPACOES E INVESTIMENTOS LTDA</t>
  </si>
  <si>
    <t>20654500</t>
  </si>
  <si>
    <t>GUARUBA PARTICIPACOES E INVESTIMENTOS LTDA</t>
  </si>
  <si>
    <t>ROGERIO GALLEAZZI</t>
  </si>
  <si>
    <t>932330881</t>
  </si>
  <si>
    <t>4687702-Comércio atacadista de resíduos e sucatas não metálicos, exceto de papel e papelão\4687703-Comércio atacadista de resíduos e sucatas metálicos</t>
  </si>
  <si>
    <t>112.125.904.116</t>
  </si>
  <si>
    <t>10.599.254/0001-21</t>
  </si>
  <si>
    <t>UNIAO CASINGS IMPORTACAO E EXPORTACAO LTDA</t>
  </si>
  <si>
    <t>UNIAO CASINGS</t>
  </si>
  <si>
    <t>10/23/2008</t>
  </si>
  <si>
    <t>DR MANOEL PALOMINO FERNANDES</t>
  </si>
  <si>
    <t>636</t>
  </si>
  <si>
    <t>COLINA</t>
  </si>
  <si>
    <t>14770000</t>
  </si>
  <si>
    <t>981434391</t>
  </si>
  <si>
    <t>981920357</t>
  </si>
  <si>
    <t>33411090</t>
  </si>
  <si>
    <t>ELISA@UNIAOCASINGS.COM.BR</t>
  </si>
  <si>
    <t>GUSTAVO@UNIAOCASINGS.COM.BR</t>
  </si>
  <si>
    <t>JULIO@UNIAOCASINGS.COM.BR</t>
  </si>
  <si>
    <t>ALL PAR CASINGS SOCIEDAD ANONIMA</t>
  </si>
  <si>
    <t>DOUGLAS AUGUSTO FONTES FRANCA</t>
  </si>
  <si>
    <t>997390973</t>
  </si>
  <si>
    <t>2869100-Fabricação de máquinas e equipamentos para uso industrial específico não especificados anteriormente, peças e acessórios\4623102-Comércio atacadista de couros, lãs, peles e outros subprodutos não comestíveis de origem animal\4649499-Comércio atacadista de outros equipamentos e artigos de uso pessoal e doméstico não especificados anteriormente\4665600-Comércio atacadista de máquinas e equipamentos para uso comercial, partes e peças\4686902-Comércio atacadista de embalagens\4689301-Comércio atacadista de produtos da extração mineral, exceto combustíveis\4689399-Comércio atacadista especializado em outros produtos intermediários não especificados anteriormente\5620103-Cantinas - serviços de alimentação privativos</t>
  </si>
  <si>
    <t>268.010.582.112</t>
  </si>
  <si>
    <t>04.548.589/0001-18</t>
  </si>
  <si>
    <t>LSL TRANSPORTES LTDA.</t>
  </si>
  <si>
    <t>5/18/2001</t>
  </si>
  <si>
    <t>VALENCIO CALEGARI</t>
  </si>
  <si>
    <t>AV INTERNA 3 P 6D</t>
  </si>
  <si>
    <t>PARQUE SANTO ANTONIO (NOVA VENEZA)</t>
  </si>
  <si>
    <t>SUMARE</t>
  </si>
  <si>
    <t>13181585</t>
  </si>
  <si>
    <t>991520917</t>
  </si>
  <si>
    <t>994500651</t>
  </si>
  <si>
    <t>991521153</t>
  </si>
  <si>
    <t>38735584</t>
  </si>
  <si>
    <t>CONTATO@GRUPOLSL.COM.BR</t>
  </si>
  <si>
    <t>LAERCIO_OTANI@HONDA.COM.BR</t>
  </si>
  <si>
    <t>FISCAL1@EMPRESAINTELIGENTE.COM.BR</t>
  </si>
  <si>
    <t>LOGISTICA SUMARE LTDA</t>
  </si>
  <si>
    <t>31166644</t>
  </si>
  <si>
    <t>EDSON TOSHINOBU TAKAMUNE</t>
  </si>
  <si>
    <t>996106442</t>
  </si>
  <si>
    <t>4930201-Transporte rodoviário de carga, exceto produtos perigosos e mudanças, municipal\4930203-Transporte rodoviário de produtos perigosos\5212500-Carga e descarga\5250804-Organização logística do transporte de carga</t>
  </si>
  <si>
    <t>671.195.421.113</t>
  </si>
  <si>
    <t>00.514.179/0001-03</t>
  </si>
  <si>
    <t>VILLA GERMANIA ALIMENTOS S.A.</t>
  </si>
  <si>
    <t>3/22/1995</t>
  </si>
  <si>
    <t>ANTONINA</t>
  </si>
  <si>
    <t>265</t>
  </si>
  <si>
    <t>ALA B</t>
  </si>
  <si>
    <t>ENCANO DO NORTE</t>
  </si>
  <si>
    <t>INDAIAL</t>
  </si>
  <si>
    <t>89085164</t>
  </si>
  <si>
    <t>988229888</t>
  </si>
  <si>
    <t>992766136</t>
  </si>
  <si>
    <t>992622775</t>
  </si>
  <si>
    <t>33014500</t>
  </si>
  <si>
    <t>ALEXANDRE.ALMEIDA@VILLAGERMANIA.COM.BR</t>
  </si>
  <si>
    <t>ANDREIA.MOMM@VILLAGERMANIA.COM.BR</t>
  </si>
  <si>
    <t>ARMANDO.NOGUEIRA@VILLAGERMANIA.COM.BR</t>
  </si>
  <si>
    <t>CHRISTIANE ROCHA</t>
  </si>
  <si>
    <t>996395595</t>
  </si>
  <si>
    <t>RODERJAN ANDRINO DE SOUZA</t>
  </si>
  <si>
    <t>LUCIANO SCHMITT</t>
  </si>
  <si>
    <t>991437173</t>
  </si>
  <si>
    <t>0155501-Criação de frangos para corte\0155504-Criação de aves, exceto galináceos\0159899-Criação de outros animais não especificados anteriormente\1012102-Abate de pequenos animais\1013901-Fabricação de produtos de carne\1013902-Preparação de subprodutos do abate\1066000-Fabricação de alimentos para animais\4623109-Comércio atacadista de alimentos para animais\4634601-Comércio atacadista de carnes bovinas e suínas e derivados\4634602-Comércio atacadista de aves abatidas e derivados\4634603-Comércio atacadista de pescados e frutos do mar\4634699-Comércio atacadista de carnes e derivados de outros animais\4721103-Comércio varejista de laticínios e frios\4722901-Comércio varejista de carnes - açougues\4729699-Comércio varejista de produtos alimentícios em geral ou especializado em produtos alimentícios não especificados anteriormente\5620101-Fornecimento de alimentos preparados preponderantemente para empresas</t>
  </si>
  <si>
    <t>253096030</t>
  </si>
  <si>
    <t>04.814.657/0001-43</t>
  </si>
  <si>
    <t>TERLOGS TERMINAL MARITIMO LTDA</t>
  </si>
  <si>
    <t>12/14/2001</t>
  </si>
  <si>
    <t>KM 23</t>
  </si>
  <si>
    <t>VOLTA REDONDA</t>
  </si>
  <si>
    <t>ARAQUARI</t>
  </si>
  <si>
    <t>89245000</t>
  </si>
  <si>
    <t>992139399</t>
  </si>
  <si>
    <t>992459435</t>
  </si>
  <si>
    <t>992893721</t>
  </si>
  <si>
    <t>34714413</t>
  </si>
  <si>
    <t>AGNES.OCHOA@TERLOGS.COM.BR</t>
  </si>
  <si>
    <t>ANDERSON.FINKLER@TERLOGS.COM.BR</t>
  </si>
  <si>
    <t>BRUNA.CALAZANS@TERLOGS.COM.BR</t>
  </si>
  <si>
    <t>MARUBENI BRASIL S A</t>
  </si>
  <si>
    <t>34661855</t>
  </si>
  <si>
    <t>MARUBENI CORPORATION</t>
  </si>
  <si>
    <t>MARCOS ELIAS SIMANTOB</t>
  </si>
  <si>
    <t>991212833</t>
  </si>
  <si>
    <t>0163600-Atividades de pós-colheita\4619200-Representantes comerciais e agentes do comércio de mercadorias em geral não especializado\5250801-Comissaria de despachos\5250802-Atividades de despachantes aduaneiros\5250804-Organização logística do transporte de carga\5250805-Operador de transporte multimodal - OTM\6462000-Holdings de instituições não financeiras\</t>
  </si>
  <si>
    <t>254342566</t>
  </si>
  <si>
    <t>08.904.113/0001-23</t>
  </si>
  <si>
    <t>MAIS FRANGO MIRAGUAI LTDA</t>
  </si>
  <si>
    <t>MAIS FRANGO MIRAGUAI</t>
  </si>
  <si>
    <t>6/12/2007</t>
  </si>
  <si>
    <t>RS 330 SN</t>
  </si>
  <si>
    <t>KM 3</t>
  </si>
  <si>
    <t>DT DE IRAPUA</t>
  </si>
  <si>
    <t>MIRAGUAI</t>
  </si>
  <si>
    <t>98540000</t>
  </si>
  <si>
    <t>996208317</t>
  </si>
  <si>
    <t>996918063</t>
  </si>
  <si>
    <t>999787452</t>
  </si>
  <si>
    <t>35541003</t>
  </si>
  <si>
    <t>DIRECAO@MAISFRANGO.COM.BR</t>
  </si>
  <si>
    <t>ANDRE.DECARLI@MAISFRANGO.COM.BR</t>
  </si>
  <si>
    <t>AQUILES.GAVIRAGHI@MAISFRANGO.COM.BR</t>
  </si>
  <si>
    <t>MS PARTICIPACOES SOCIAIS LTDA</t>
  </si>
  <si>
    <t>32291061</t>
  </si>
  <si>
    <t>AVD PARTICIPACOES SOCIAIS LTDA</t>
  </si>
  <si>
    <t>LFP PARTICIPACOES SOCIAIS LTDA</t>
  </si>
  <si>
    <t>0155501-Criação de frangos para corte\0155502-Produção de pintos de um dia\0155505-Produção de ovos\1013902-Preparação de subprodutos do abate\1066000-Fabricação de alimentos para animais\4623109-Comércio atacadista de alimentos para animais\4634602-Comércio atacadista de aves abatidas e derivados\4634699-Comércio atacadista de carnes e derivados de outros animais\4930201-Transporte rodoviário de carga, exceto produtos perigosos e mudanças, municipal\4930202-Transporte rodoviário de carga, exceto produtos perigosos e mudanças, intermunicipal, interestadual e internacional</t>
  </si>
  <si>
    <t>205/0006599</t>
  </si>
  <si>
    <t>43.954.460/0001-61</t>
  </si>
  <si>
    <t>RODOVIARIO MORADA DO SOL LTDA (EM RECUPERACAO JUDICIAL)</t>
  </si>
  <si>
    <t>RODOVIARIO MORADA DO SOL</t>
  </si>
  <si>
    <t>7/28/1966</t>
  </si>
  <si>
    <t>ENGENHEIRO CAMILO DINUCCI</t>
  </si>
  <si>
    <t>2885</t>
  </si>
  <si>
    <t>JARDIM ARCO-IRIS</t>
  </si>
  <si>
    <t>14808100</t>
  </si>
  <si>
    <t>997885694</t>
  </si>
  <si>
    <t>996292531</t>
  </si>
  <si>
    <t>997506994</t>
  </si>
  <si>
    <t>20601156</t>
  </si>
  <si>
    <t>FELIPE.TRENCH@MORADA.COM.BR</t>
  </si>
  <si>
    <t>ALINE.MAGALHAES@GRUPOMORADA.COM.BR</t>
  </si>
  <si>
    <t>JAIRO.MARCHINI@MORADA.COM.BR</t>
  </si>
  <si>
    <t>MORADA PARTICIPACOES LTDA</t>
  </si>
  <si>
    <t>33015550</t>
  </si>
  <si>
    <t>RMINVEST PARTICIPACOES LTDA.</t>
  </si>
  <si>
    <t>28566226</t>
  </si>
  <si>
    <t>MTMH PARTICIPACOES LTDA.</t>
  </si>
  <si>
    <t>30541020</t>
  </si>
  <si>
    <t>2599302-Serviço de corte e dobra de metais\4399104-Serviços de operação e fornecimento de equipamentos para transporte e elevação de cargas e pessoas para uso em obras\4921301-Transporte rodoviário coletivo de passageiros, com itinerário fixo, municipal\4930201-Transporte rodoviário de carga, exceto produtos perigosos e mudanças, municipal\4930203-Transporte rodoviário de produtos perigosos\5211799-Depósitos de mercadorias para terceiros, exceto armazéns gerais e guarda-móveis\5250804-Organização logística do transporte de carga\5250805-Operador de transporte multimodal - OTM\7711000-Locação de automóveis sem condutor\7719599-Locação de outros meios de transporte não especificados anteriormente, sem condutor\7731400-Aluguel de máquinas e equipamentos agrícolas sem operador\7739099-Aluguel de outras máquinas e equipamentos comerciais e industriais não especificados anteriormente, sem operador\7820500-Locação de mão de obra temporária\</t>
  </si>
  <si>
    <t>181.009.982.111</t>
  </si>
  <si>
    <t>53.717.120/0001-70</t>
  </si>
  <si>
    <t>ZENATUR TRANSPORTES DE CARGAS LTDA</t>
  </si>
  <si>
    <t>10/9/1986</t>
  </si>
  <si>
    <t>SADAE TAKAGI</t>
  </si>
  <si>
    <t>3040</t>
  </si>
  <si>
    <t>COOPERATIVA</t>
  </si>
  <si>
    <t>9852070</t>
  </si>
  <si>
    <t>974383375</t>
  </si>
  <si>
    <t>974472573</t>
  </si>
  <si>
    <t>995350693</t>
  </si>
  <si>
    <t>40536000</t>
  </si>
  <si>
    <t>FISCAL@ZENATUR.COM.BR</t>
  </si>
  <si>
    <t>CARLOS.ALBERTO@ZENATUR.COM.BR</t>
  </si>
  <si>
    <t>MARCIA.CANDIEV@ZENATUR.COM.BR</t>
  </si>
  <si>
    <t>JCC TECNOLOGIA E INOVACAO LTDA</t>
  </si>
  <si>
    <t>999659263</t>
  </si>
  <si>
    <t>MARISE CANDIEV DE CAMPOS</t>
  </si>
  <si>
    <t>5211701-Armazéns gerais - emissão de warrant\5211799-Depósitos de mercadorias para terceiros, exceto armazéns gerais e guarda-móveis\7020400-Atividades de consultoria em gestão empresarial, exceto consultoria técnica específica\7490104-Atividades de intermediação e agenciamento de serviços e negócios em geral, exceto imobiliários\8292000-Envasamento e empacotamento sob contrato\</t>
  </si>
  <si>
    <t>799.009.001.113</t>
  </si>
  <si>
    <t>42.515.478/0001-02</t>
  </si>
  <si>
    <t>SPRINK SEGURANCA CONTRA INCENDIO LTDA - FALIDO</t>
  </si>
  <si>
    <t>3321000</t>
  </si>
  <si>
    <t>Instalação de máquinas e equipamentos industriais</t>
  </si>
  <si>
    <t>2/27/1976</t>
  </si>
  <si>
    <t>HADDOCK LOBO</t>
  </si>
  <si>
    <t>00072</t>
  </si>
  <si>
    <t>SAL 207 SAL 209 SAL 601 SAL 602 SALA 701 COM 5 VAGAS DE GARAGE</t>
  </si>
  <si>
    <t>ESTACIO</t>
  </si>
  <si>
    <t>20260132</t>
  </si>
  <si>
    <t>972068599</t>
  </si>
  <si>
    <t>967479319</t>
  </si>
  <si>
    <t>984890480</t>
  </si>
  <si>
    <t>25035700</t>
  </si>
  <si>
    <t>NF@SPRINK.COM.BR</t>
  </si>
  <si>
    <t>NFE@SPRINK.COM.BR</t>
  </si>
  <si>
    <t>SERGIOBORELLI@SPRINK.COM.BR</t>
  </si>
  <si>
    <t>ANDRE BORGES VIANA</t>
  </si>
  <si>
    <t>988010765</t>
  </si>
  <si>
    <t>VIANA PARTICIPACOES LTDA</t>
  </si>
  <si>
    <t>33245854</t>
  </si>
  <si>
    <t>3314799-Manutenção e reparação de outras máquinas e equipamentos para usos industriais não especificados anteriormente\3811400-Coleta de resíduos não perigosos\6399200-Outras atividades de prestação de serviços de informação não especificadas anteriormente\7020400-Atividades de consultoria em gestão empresarial, exceto consultoria técnica específica\7112000-Serviços de engenharia\7119799-Atividades técnicas relacionadas à engenharia e arquitetura não especificadas anteriormente\7490104-Atividades de intermediação e agenciamento de serviços e negócios em geral, exceto imobiliários\8020002-Outras atividades de serviços de segurança\8299799-Outras atividades de serviços prestados principalmente às empresas não especificadas anteriormente\8599604-Treinamento em desenvolvimento profissional e gerencial\8650001-Atividades de enfermagem\</t>
  </si>
  <si>
    <t>81.163.057</t>
  </si>
  <si>
    <t>06.160.091/0001-09</t>
  </si>
  <si>
    <t>MENZOIL INDUSTRIA DE LUBRIFICANTES S/A</t>
  </si>
  <si>
    <t>MENZOIL</t>
  </si>
  <si>
    <t>2/17/2004</t>
  </si>
  <si>
    <t>KARL KIELBLOCK</t>
  </si>
  <si>
    <t>989</t>
  </si>
  <si>
    <t>RES BURCK</t>
  </si>
  <si>
    <t>992888606</t>
  </si>
  <si>
    <t>993799234</t>
  </si>
  <si>
    <t>993689183</t>
  </si>
  <si>
    <t>38781338</t>
  </si>
  <si>
    <t>FISCAL@MENZOIL.COM</t>
  </si>
  <si>
    <t>BRUNO.FERNANDEZ@MENZOIL.COM.BR</t>
  </si>
  <si>
    <t>VICTOR.SPONCHIADO@MENZOIL.COM.BR</t>
  </si>
  <si>
    <t>JOSE FLAUBERT CURSAGE</t>
  </si>
  <si>
    <t>992671837</t>
  </si>
  <si>
    <t>2099199-Fabricação de outros produtos químicos não especificados anteriormente\3821100-Tratamento e disposição de resíduos não perigosos\4663000-Comércio atacadista de máquinas e equipamentos para uso industrial, partes e peças\4681805-Comércio atacadista de lubrificantes\4684202-Comércio atacadista de solventes\4684299-Comércio atacadista de outros produtos químicos e petroquímicos não especificados anteriormente\4693100-Comércio atacadista de mercadorias em geral, sem predominância de alimentos ou de insumos agropecuários\4732600-Comércio varejista de lubrificantes\5211799-Depósitos de mercadorias para terceiros, exceto armazéns gerais e guarda-móveis\7120100-Testes e análises técnicas\7739099-Aluguel de outras máquinas e equipamentos comerciais e industriais não especificados anteriormente, sem operador\8292000-Envasamento e empacotamento sob contrato</t>
  </si>
  <si>
    <t>421.075.068.118</t>
  </si>
  <si>
    <t>06.306.660/0001-81</t>
  </si>
  <si>
    <t>ASSO MARITIMA NAVEGACAO LTDA</t>
  </si>
  <si>
    <t>ASSO MARITIMA</t>
  </si>
  <si>
    <t>6/14/2004</t>
  </si>
  <si>
    <t>NOSSA SENHORA DA GLORIA</t>
  </si>
  <si>
    <t>1181</t>
  </si>
  <si>
    <t>SALA 807 E 808</t>
  </si>
  <si>
    <t>PRAIA CAMPISTA</t>
  </si>
  <si>
    <t>27923215</t>
  </si>
  <si>
    <t>996361799</t>
  </si>
  <si>
    <t>995470828</t>
  </si>
  <si>
    <t>967407979</t>
  </si>
  <si>
    <t>27721017</t>
  </si>
  <si>
    <t>ASSO@ASSOMARITIMA.COM.BR</t>
  </si>
  <si>
    <t>ARTUR@ASSOMARITIMA.COM.BR</t>
  </si>
  <si>
    <t>LUIZ.CARLOS@OLYMPICMARITIMA.COM</t>
  </si>
  <si>
    <t>AUGUSTA OFFSHORE SPA</t>
  </si>
  <si>
    <t>CAFIERO MATTIOLI FINANZIARIA DI MARIA LAURA CAFIERO EC</t>
  </si>
  <si>
    <t>EDUARDO ARTUR OLIVEIRA DE LIMA</t>
  </si>
  <si>
    <t>995908806</t>
  </si>
  <si>
    <t>5030101-Navegação de apoio marítimo\</t>
  </si>
  <si>
    <t>77.765.905</t>
  </si>
  <si>
    <t>07.164.263/0001-85</t>
  </si>
  <si>
    <t>KADAO S A EM RECUPERACAO JUDICIAL</t>
  </si>
  <si>
    <t>KADAO ALIMENTOS</t>
  </si>
  <si>
    <t>12/29/2004</t>
  </si>
  <si>
    <t>GO-206</t>
  </si>
  <si>
    <t>KM 01</t>
  </si>
  <si>
    <t>CACU</t>
  </si>
  <si>
    <t>75813000</t>
  </si>
  <si>
    <t>999780541</t>
  </si>
  <si>
    <t>36560010</t>
  </si>
  <si>
    <t>BALVES@KADAOALIMENTOS.COM.BR</t>
  </si>
  <si>
    <t>ROLIVEIRA@KADAOALIMENTOS.COM.BR</t>
  </si>
  <si>
    <t>RICARDO VASCONCELOS DE OLIVEIRA</t>
  </si>
  <si>
    <t>BRUNO ITALO ALVES</t>
  </si>
  <si>
    <t>981300318</t>
  </si>
  <si>
    <t>0151201-Criação de bovinos para corte\1011201-Frigorífico - abate de bovinos\1013902-Preparação de subprodutos do abate\4634601-Comércio atacadista de carnes bovinas e suínas e derivados\4639701-Comércio atacadista de produtos alimentícios em geral\4930202-Transporte rodoviário de carga, exceto produtos perigosos e mudanças, intermunicipal, interestadual e internacional\6462000-Holdings de instituições não financeiras\</t>
  </si>
  <si>
    <t>10.404.627-9</t>
  </si>
  <si>
    <t>17.689.837/0001-92</t>
  </si>
  <si>
    <t>IBOR TRANSPORTE RODOVIARIO LTDA</t>
  </si>
  <si>
    <t>7/23/1973</t>
  </si>
  <si>
    <t>MARIA EUGENIA</t>
  </si>
  <si>
    <t>696</t>
  </si>
  <si>
    <t>JUIZ DE FORA</t>
  </si>
  <si>
    <t>36090220</t>
  </si>
  <si>
    <t>33137727</t>
  </si>
  <si>
    <t>IBOR@IBOR.COM.BR</t>
  </si>
  <si>
    <t>ADRIANA@IBOR.COM.BR</t>
  </si>
  <si>
    <t>ALEXANDRECRUZ@IBOR.COM.BR</t>
  </si>
  <si>
    <t>LUIZ ANTONIO BORDIN JUNIOR</t>
  </si>
  <si>
    <t>988154575</t>
  </si>
  <si>
    <t>1932200-Fabricação de biocombustíveis, exceto álcool\</t>
  </si>
  <si>
    <t>367124957.00-94</t>
  </si>
  <si>
    <t>55.890.016/0001-09</t>
  </si>
  <si>
    <t>TRANSNOVAG TRANSPORTES SA</t>
  </si>
  <si>
    <t>TRANSNOVAG</t>
  </si>
  <si>
    <t>6/25/1986</t>
  </si>
  <si>
    <t>CADIRIRI</t>
  </si>
  <si>
    <t>629</t>
  </si>
  <si>
    <t>775 851</t>
  </si>
  <si>
    <t>PARQUE DA MOOCA</t>
  </si>
  <si>
    <t>3109040</t>
  </si>
  <si>
    <t>997162005</t>
  </si>
  <si>
    <t>971187920</t>
  </si>
  <si>
    <t>982558197</t>
  </si>
  <si>
    <t>25913090</t>
  </si>
  <si>
    <t>TRANSNOVAGVWTBT@TERRA.COM.BR</t>
  </si>
  <si>
    <t>DARCI PAYAO RODRIGUES FILHO</t>
  </si>
  <si>
    <t>JOAO LUCIANO GRANADO</t>
  </si>
  <si>
    <t>999747695</t>
  </si>
  <si>
    <t>4930203-Transporte rodoviário de produtos perigosos\5211701-Armazéns gerais - emissão de warrant\5212500-Carga e descarga\</t>
  </si>
  <si>
    <t>111.501.336.118</t>
  </si>
  <si>
    <t>17.949.900/0001-82</t>
  </si>
  <si>
    <t>TRANSPORTADORA GIACCHERO LTDA</t>
  </si>
  <si>
    <t>TRANSPORTADORA GIACCHERO</t>
  </si>
  <si>
    <t>2/12/1973</t>
  </si>
  <si>
    <t>FRANCISCO F PEREIRA</t>
  </si>
  <si>
    <t>201</t>
  </si>
  <si>
    <t>PRQ INDUSTRIAL</t>
  </si>
  <si>
    <t>SAO SEBASTIAO DO PARAISO</t>
  </si>
  <si>
    <t>37950000</t>
  </si>
  <si>
    <t>998911503</t>
  </si>
  <si>
    <t>984238261</t>
  </si>
  <si>
    <t>991931782</t>
  </si>
  <si>
    <t>35391996</t>
  </si>
  <si>
    <t>FINANCEIRO@GIACCHERO.COM.BR</t>
  </si>
  <si>
    <t>JARBAS@GIACCHERO.COM.BR</t>
  </si>
  <si>
    <t>JUNIOR@GIACCHERO.COM.BR</t>
  </si>
  <si>
    <t>LAURA GIACCHERO</t>
  </si>
  <si>
    <t>999611377</t>
  </si>
  <si>
    <t>LILIAN GIACCHERO RIBEIRO</t>
  </si>
  <si>
    <t>987181936</t>
  </si>
  <si>
    <t>0210107-Extração de madeira em florestas plantadas\0810099-Extração e britamento de pedras e outros materiais para construção e beneficiamento associado\0990401-Atividades de apoio à extração de minério de ferro\4520001-Serviços de manutenção e reparação mecânica de veículos automotores\4520005-Serviços de lavagem, lubrificação e polimento de veículos automotores\4921301-Transporte rodoviário coletivo de passageiros, com itinerário fixo, municipal\4930203-Transporte rodoviário de produtos perigosos\5212500-Carga e descarga\7739099-Aluguel de outras máquinas e equipamentos comerciais e industriais não especificados anteriormente, sem operador\7820500-Locação de mão de obra temporária\8299799-Outras atividades de serviços prestados principalmente às empresas não especificadas anteriormente\</t>
  </si>
  <si>
    <t>647607240.00-82</t>
  </si>
  <si>
    <t>84.430.800/0001-32</t>
  </si>
  <si>
    <t>COMPANHIA MINUANO DE ALIMENTOS</t>
  </si>
  <si>
    <t>MINUANO</t>
  </si>
  <si>
    <t>8/24/1966</t>
  </si>
  <si>
    <t>BENJAMIN CONSTANT</t>
  </si>
  <si>
    <t>1535</t>
  </si>
  <si>
    <t>LAJEADO</t>
  </si>
  <si>
    <t>95900010</t>
  </si>
  <si>
    <t>999359122</t>
  </si>
  <si>
    <t>999619950</t>
  </si>
  <si>
    <t>982491010</t>
  </si>
  <si>
    <t>37149436</t>
  </si>
  <si>
    <t>CONTABILIDADE@MINUANO.COM.BR</t>
  </si>
  <si>
    <t>INFORMATICA@MINUANO.COM.BR</t>
  </si>
  <si>
    <t>VICENTE@MINUANO.COM.BR</t>
  </si>
  <si>
    <t>CHAO EN HUNG</t>
  </si>
  <si>
    <t>984024788</t>
  </si>
  <si>
    <t>MARGARETH SCHACHT HERRMANN</t>
  </si>
  <si>
    <t>964420302</t>
  </si>
  <si>
    <t>TIAGO FONSECA SIQUEIRA</t>
  </si>
  <si>
    <t>984290569</t>
  </si>
  <si>
    <t>0155502-Produção de pintos de um dia\0155503-Criação de outros galináceos, exceto para corte\0155505-Produção de ovos\0220901-Extração de madeira em florestas nativas\1012103-Frigorífico - abate de suínos\1013901-Fabricação de produtos de carne\1013902-Preparação de subprodutos do abate\1066000-Fabricação de alimentos para animais\3600601-Captação, tratamento e distribuição de água\4639701-Comércio atacadista de produtos alimentícios em geral\4729699-Comércio varejista de produtos alimentícios em geral ou especializado em produtos alimentícios não especificados anteriormente\5211799-Depósitos de mercadorias para terceiros, exceto armazéns gerais e guarda-móveis</t>
  </si>
  <si>
    <t>072/0122880</t>
  </si>
  <si>
    <t>08.268.378/0001-82</t>
  </si>
  <si>
    <t>ADUKARGO TRANSPORTES, LOGISTICA E SERVICOS DE ARMAZENS GERAIS LTDA</t>
  </si>
  <si>
    <t>ADUKARGO TRANSPORTES</t>
  </si>
  <si>
    <t>8/16/2006</t>
  </si>
  <si>
    <t>AUTAZ MIRIM</t>
  </si>
  <si>
    <t>1225</t>
  </si>
  <si>
    <t>69075155</t>
  </si>
  <si>
    <t>32128519</t>
  </si>
  <si>
    <t>KNT PARTICIPACOES LTDA</t>
  </si>
  <si>
    <t>21233589</t>
  </si>
  <si>
    <t>MKR PARTICIPACOES LTDA</t>
  </si>
  <si>
    <t>OKITO TAKEDA</t>
  </si>
  <si>
    <t>984825090</t>
  </si>
  <si>
    <t>4321500-Instalação e manutenção elétrica\4322302-Instalação e manutenção de sistemas centrais de ar condicionado, de ventilação e refrigeração\4330499-Outras obras de acabamento da construção\4399101-Administração de obras\4399103-Obras de alvenaria\4617600-Representantes comerciais e agentes do comércio de produtos alimentícios, bebidas e fumo\4618499-Outros representantes comerciais e agentes do comércio especializado em produtos não especificados anteriormente\4930202-Transporte rodoviário de carga, exceto produtos perigosos e mudanças, intermunicipal, interestadual e internacional\4930203-Transporte rodoviário de produtos perigosos\5211701-Armazéns gerais - emissão de warrant\5212500-Carga e descarga\5232000-Atividades de agenciamento marítimo\5250801-Comissaria de despachos\5250802-Atividades de despachantes aduaneiros\5250803-Agenciamento de cargas, exceto para o transporte marítimo\5250804-Organização logística do transporte de carga\5250805-Operador de transporte multimodal - OTM\7020400-Atividades de consultoria em gestão empresarial, exceto consultoria técnica específica\7112000-Serviços de engenharia\7739099-Aluguel de outras máquinas e equipamentos comerciais e industriais não especificados anteriormente, sem operador\8599604-Treinamento em desenvolvimento profissional e gerencial\</t>
  </si>
  <si>
    <t>04.218.577-7</t>
  </si>
  <si>
    <t>09.098.215/0001-61</t>
  </si>
  <si>
    <t>MAERSK SUPPLY SERVICE - APOIO MARITIMO LTDA</t>
  </si>
  <si>
    <t>10/2/2007</t>
  </si>
  <si>
    <t>REPUBLICA DO CHILE</t>
  </si>
  <si>
    <t>TORRE LESTE 5 ANDAR</t>
  </si>
  <si>
    <t>20031170</t>
  </si>
  <si>
    <t>30322800</t>
  </si>
  <si>
    <t>TAXTEAM.BRAZIL@MAERSKSUPPLY.COM</t>
  </si>
  <si>
    <t>RIOMSSMARGIL@MAERSKSUPPLYSERVICE.COM</t>
  </si>
  <si>
    <t>RODRIGO.MUNIZ@MAERSK.COM</t>
  </si>
  <si>
    <t>DOUGLAS AMADO LAGAME</t>
  </si>
  <si>
    <t>999944931</t>
  </si>
  <si>
    <t>ALEXANDRE COTRIM FERRAZ</t>
  </si>
  <si>
    <t>991030510</t>
  </si>
  <si>
    <t>MAERSK SUPPLY SERVICE BRAZIL HOLDINGS A/S</t>
  </si>
  <si>
    <t>0910600-Atividades de apoio à extração de petróleo e gás natural\5030102-Navegação de apoio portuário\5239799-Atividades auxiliares dos transportes aquaviários não especificadas anteriormente\7112000-Serviços de engenharia\7119799-Atividades técnicas relacionadas à engenharia e arquitetura não especificadas anteriormente\</t>
  </si>
  <si>
    <t>78.381.060</t>
  </si>
  <si>
    <t>77.393.361/0001-70</t>
  </si>
  <si>
    <t>TRANZAL TRANSPORTES ZANELLA LTDA</t>
  </si>
  <si>
    <t>TRANZAL</t>
  </si>
  <si>
    <t>3/16/1977</t>
  </si>
  <si>
    <t>DOUTOR EZUEL PORTES</t>
  </si>
  <si>
    <t>15131</t>
  </si>
  <si>
    <t>UNIVERSITARIO</t>
  </si>
  <si>
    <t>85819003</t>
  </si>
  <si>
    <t>33244511</t>
  </si>
  <si>
    <t>984121021</t>
  </si>
  <si>
    <t>984111022</t>
  </si>
  <si>
    <t>984271021</t>
  </si>
  <si>
    <t>FINANCEIRO@TRANZALTRANSPORTES.COM.BR</t>
  </si>
  <si>
    <t>FATURAMENTO@TRANZALTRANSPORTES.COM.BR</t>
  </si>
  <si>
    <t>LUIS CARLOS ZANELLA</t>
  </si>
  <si>
    <t>988021671</t>
  </si>
  <si>
    <t>4930201-Transporte rodoviário de carga, exceto produtos perigosos e mudanças, municipal\5212500-Carga e descarga\5250803-Agenciamento de cargas, exceto para o transporte marítimo\5250804-Organização logística do transporte de carga\7719599-Locação de outros meios de transporte não especificados anteriormente, sem condutor\</t>
  </si>
  <si>
    <t>41011200-02</t>
  </si>
  <si>
    <t>10.299.567/0001-64</t>
  </si>
  <si>
    <t>VELOCE LOGISTICA S.A.</t>
  </si>
  <si>
    <t>8/20/2008</t>
  </si>
  <si>
    <t>LUIZ MERENDA</t>
  </si>
  <si>
    <t>CAMPANARIO</t>
  </si>
  <si>
    <t>DIADEMA</t>
  </si>
  <si>
    <t>9931390</t>
  </si>
  <si>
    <t>943680472</t>
  </si>
  <si>
    <t>997387866</t>
  </si>
  <si>
    <t>996972415</t>
  </si>
  <si>
    <t>39057000</t>
  </si>
  <si>
    <t>FISCAL.GRUPO@VELOCELOG.COM.BR</t>
  </si>
  <si>
    <t>JURIDICO@VELOCELOG.COM.BR</t>
  </si>
  <si>
    <t>MOLIVEIRA@VELOCELOG.COM.BR</t>
  </si>
  <si>
    <t>DAMIAN MATIAS ARCIDIACONO</t>
  </si>
  <si>
    <t>YUSUKE SHIONOYA</t>
  </si>
  <si>
    <t>84</t>
  </si>
  <si>
    <t>996712698</t>
  </si>
  <si>
    <t>ROSIMEIRE DE SOUZA DA FONTE</t>
  </si>
  <si>
    <t>993559044</t>
  </si>
  <si>
    <t>4520001-Serviços de manutenção e reparação mecânica de veículos automotores\4930203-Transporte rodoviário de produtos perigosos\5211799-Depósitos de mercadorias para terceiros, exceto armazéns gerais e guarda-móveis\5212500-Carga e descarga\5250804-Organização logística do transporte de carga\7020400-Atividades de consultoria em gestão empresarial, exceto consultoria técnica específica\7739099-Aluguel de outras máquinas e equipamentos comerciais e industriais não especificados anteriormente, sem operador\8299799-Outras atividades de serviços prestados principalmente às empresas não especificadas anteriormente</t>
  </si>
  <si>
    <t>286.220.274.118</t>
  </si>
  <si>
    <t>00.438.756/0001-17</t>
  </si>
  <si>
    <t>TRANSGRAOS LTDA</t>
  </si>
  <si>
    <t>TRANSGRAOS</t>
  </si>
  <si>
    <t>2/6/1995</t>
  </si>
  <si>
    <t>MARABA</t>
  </si>
  <si>
    <t>3101</t>
  </si>
  <si>
    <t>PATOS DE MINAS</t>
  </si>
  <si>
    <t>38703236</t>
  </si>
  <si>
    <t>999426700</t>
  </si>
  <si>
    <t>998220130</t>
  </si>
  <si>
    <t>998316756</t>
  </si>
  <si>
    <t>38263170</t>
  </si>
  <si>
    <t>FERNANDOHENRIQUE@TRANSGRAOS.COM.BR</t>
  </si>
  <si>
    <t>FERNANDOSANTIAGO@TRANSGRAOS.COM.BR</t>
  </si>
  <si>
    <t>CARLOSTERENCIO@TRANSGRAOS.COM.BR</t>
  </si>
  <si>
    <t>ELIAS FERREIRA CAIXETA</t>
  </si>
  <si>
    <t>988036975</t>
  </si>
  <si>
    <t>SIRLEI APARECIDA SILVA CAIXETA</t>
  </si>
  <si>
    <t>999122087</t>
  </si>
  <si>
    <t>VT AGRO S.A.</t>
  </si>
  <si>
    <t>999124800</t>
  </si>
  <si>
    <t>0161003-Serviço de preparação de terreno, cultivo e colheita\3314711-Manutenção e reparação de máquinas e equipamentos para agricultura e pecuária\4930201-Transporte rodoviário de carga, exceto produtos perigosos e mudanças, municipal\4930203-Transporte rodoviário de produtos perigosos\5211701-Armazéns gerais - emissão de warrant\5211799-Depósitos de mercadorias para terceiros, exceto armazéns gerais e guarda-móveis\5229099-Outras atividades auxiliares dos transportes terrestres não especificadas anteriormente\7731400-Aluguel de máquinas e equipamentos agrícolas sem operador</t>
  </si>
  <si>
    <t>480925226.00-26</t>
  </si>
  <si>
    <t>32.492.373/0001-13</t>
  </si>
  <si>
    <t>TRANSPORTE EXCELSIOR LTDA</t>
  </si>
  <si>
    <t>SL TRANSPORTES</t>
  </si>
  <si>
    <t>8/19/1966</t>
  </si>
  <si>
    <t>DA SANTA CRUZ</t>
  </si>
  <si>
    <t>80</t>
  </si>
  <si>
    <t>12413180</t>
  </si>
  <si>
    <t>998730262</t>
  </si>
  <si>
    <t>999143118</t>
  </si>
  <si>
    <t>981158636</t>
  </si>
  <si>
    <t>33433487</t>
  </si>
  <si>
    <t>ROGERIOLOUREIRO@TRANSPORTEEXCELSIOR.COM.BR</t>
  </si>
  <si>
    <t>ROBERTO LOUREIRO</t>
  </si>
  <si>
    <t>999911118</t>
  </si>
  <si>
    <t>RONALDO LOUREIRO</t>
  </si>
  <si>
    <t>999915355</t>
  </si>
  <si>
    <t>ROGERIO LOUREIRO</t>
  </si>
  <si>
    <t>992800293</t>
  </si>
  <si>
    <t>3811400-Coleta de resíduos não perigosos\3812200-Coleta de resíduos perigosos\4930202-Transporte rodoviário de carga, exceto produtos perigosos e mudanças, intermunicipal, interestadual e internacional\4930203-Transporte rodoviário de produtos perigosos\5211701-Armazéns gerais - emissão de warrant\5211799-Depósitos de mercadorias para terceiros, exceto armazéns gerais e guarda-móveis\5223100-Estacionamento de veículos\5250804-Organização logística do transporte de carga\5250805-Operador de transporte multimodal - OTM\7711000-Locação de automóveis sem condutor\7719599-Locação de outros meios de transporte não especificados anteriormente, sem condutor\7820500-Locação de mão de obra temporária</t>
  </si>
  <si>
    <t>081.306.20-2</t>
  </si>
  <si>
    <t>82.270.711/0001-40</t>
  </si>
  <si>
    <t>CARGOLIFT LOGISTICA S/A</t>
  </si>
  <si>
    <t>CARGOLIFT</t>
  </si>
  <si>
    <t>8/14/1990</t>
  </si>
  <si>
    <t>ARTHUR MARTINS FRANCO</t>
  </si>
  <si>
    <t>81350100</t>
  </si>
  <si>
    <t>992807113</t>
  </si>
  <si>
    <t>999800969</t>
  </si>
  <si>
    <t>995907684</t>
  </si>
  <si>
    <t>36076219</t>
  </si>
  <si>
    <t>MARCELO.SIGNORINI@CARGOLIFT.COM.BR</t>
  </si>
  <si>
    <t>COMPRAS@CARGOLIFT.COM.BR</t>
  </si>
  <si>
    <t>ELISANE@CARGOLIFT.COM.BR</t>
  </si>
  <si>
    <t>MARKENSON MARQUES DOS SANTOS</t>
  </si>
  <si>
    <t>988161511</t>
  </si>
  <si>
    <t>RAFAEL SILVA MANSUR</t>
  </si>
  <si>
    <t>991024390</t>
  </si>
  <si>
    <t>DHIORGENES ANDRE DE FREITAS FIORESI</t>
  </si>
  <si>
    <t>981694866</t>
  </si>
  <si>
    <t>4511102-Comércio a varejo de automóveis, camionetas e utilitários usados\4520005-Serviços de lavagem, lubrificação e polimento de veículos automotores\4731800-Comércio varejista de combustíveis para veículos automotores\4930201-Transporte rodoviário de carga, exceto produtos perigosos e mudanças, municipal\4930203-Transporte rodoviário de produtos perigosos\5211701-Armazéns gerais - emissão de warrant\5211799-Depósitos de mercadorias para terceiros, exceto armazéns gerais e guarda-móveis\5212500-Carga e descarga\5229099-Outras atividades auxiliares dos transportes terrestres não especificadas anteriormente\5250804-Organização logística do transporte de carga\5320201-Serviços de malote não realizados pelo Correio Nacional\5320202-Serviços de entrega rápida\6201501-Desenvolvimento de programas de computador sob encomenda\6202300-Desenvolvimento e licenciamento de programas de computador customizáveis\6204000-Consultoria em tecnologia da informação\7711000-Locação de automóveis sem condutor\7830200-Fornecimento e gestão de recursos humanos para terceiros\</t>
  </si>
  <si>
    <t>10179591-89</t>
  </si>
  <si>
    <t>11.072.849/0001-97</t>
  </si>
  <si>
    <t>CIALNE INDUSTRIA DE ALIMENTOS S A</t>
  </si>
  <si>
    <t>8/20/2009</t>
  </si>
  <si>
    <t>PREFEITO WALL FERRAZ</t>
  </si>
  <si>
    <t>KM18NO LUGAR JUNCODATA S JOSE DO JUNCO</t>
  </si>
  <si>
    <t>SANTO ANTONIO</t>
  </si>
  <si>
    <t>TERESINA</t>
  </si>
  <si>
    <t>64032075</t>
  </si>
  <si>
    <t>988526916</t>
  </si>
  <si>
    <t>988020737</t>
  </si>
  <si>
    <t>32183839</t>
  </si>
  <si>
    <t>PESSOAL@CIALNE.COM.BR</t>
  </si>
  <si>
    <t>AFRANIO.NOGUEIRA@CIALNE.COM.BR</t>
  </si>
  <si>
    <t>ALEXANDRELIMA@CIALNE.COM.BR</t>
  </si>
  <si>
    <t>LUDMILA CARNEIRO DA SILVEIRA</t>
  </si>
  <si>
    <t>981259305</t>
  </si>
  <si>
    <t>DANIELA CARNEIRO BASTOS</t>
  </si>
  <si>
    <t>981044898</t>
  </si>
  <si>
    <t>FRANCISCO DE ARAUJO CARNEIRO NETO</t>
  </si>
  <si>
    <t>981219539</t>
  </si>
  <si>
    <t>0155501-Criação de frangos para corte\1013901-Fabricação de produtos de carne\1013902-Preparação de subprodutos do abate\1051100-Preparação do leite\1052000-Fabricação de laticínios\1066000-Fabricação de alimentos para animais\4631100-Comércio atacadista de leite e laticínios\4634602-Comércio atacadista de aves abatidas e derivados\4691500-Comércio atacadista de mercadorias em geral, com predominância de produtos alimentícios\4729699-Comércio varejista de produtos alimentícios em geral ou especializado em produtos alimentícios não especificados anteriormente</t>
  </si>
  <si>
    <t>194706397</t>
  </si>
  <si>
    <t>85.177.814/0001-59</t>
  </si>
  <si>
    <t>AVILAN TRANSPORTES E LOGISTICA LTDA EM RECUPERACAO JUDICIAL</t>
  </si>
  <si>
    <t>AVILAN</t>
  </si>
  <si>
    <t>10/10/1991</t>
  </si>
  <si>
    <t>DEMOSTHENES FEMINELLA</t>
  </si>
  <si>
    <t>77</t>
  </si>
  <si>
    <t>L</t>
  </si>
  <si>
    <t>TIJUCAS</t>
  </si>
  <si>
    <t>88200000</t>
  </si>
  <si>
    <t>996238496</t>
  </si>
  <si>
    <t>999625324</t>
  </si>
  <si>
    <t>33453328</t>
  </si>
  <si>
    <t>ANGELITA@AVILAN.COM.BR</t>
  </si>
  <si>
    <t>AVILA@AVILAN.COM.BR</t>
  </si>
  <si>
    <t>FINANCEIRO@AVILAN.COM.BR</t>
  </si>
  <si>
    <t>ROBERTO AVILA DOS SANTOS</t>
  </si>
  <si>
    <t>998318133</t>
  </si>
  <si>
    <t>ANGELITA REIS AVILA SANTOS</t>
  </si>
  <si>
    <t>996500077</t>
  </si>
  <si>
    <t>4930203-Transporte rodoviário de produtos perigosos\5211799-Depósitos de mercadorias para terceiros, exceto armazéns gerais e guarda-móveis\5250804-Organização logística do transporte de carga\5250805-Operador de transporte multimodal - OTM</t>
  </si>
  <si>
    <t>252361610</t>
  </si>
  <si>
    <t>03.831.403/0001-70</t>
  </si>
  <si>
    <t>TRANSMARONI TRANSPORTES BRASIL RODOVIARIOS LTDA</t>
  </si>
  <si>
    <t>5/24/2000</t>
  </si>
  <si>
    <t>FORTUNATO FERRAZ</t>
  </si>
  <si>
    <t>546</t>
  </si>
  <si>
    <t>VILA ANASTACIO</t>
  </si>
  <si>
    <t>05093000</t>
  </si>
  <si>
    <t>971803006</t>
  </si>
  <si>
    <t>971656723</t>
  </si>
  <si>
    <t>942341488</t>
  </si>
  <si>
    <t>38378844</t>
  </si>
  <si>
    <t>FISCAL@TRANSMARONI.COM.BR</t>
  </si>
  <si>
    <t>JANIO@TRANSMARONI.COM.BR</t>
  </si>
  <si>
    <t>MARIANA@TRANSMARONI.COM.BR</t>
  </si>
  <si>
    <t>JOAO CARLOS MARONI JUNIOR</t>
  </si>
  <si>
    <t>991001695</t>
  </si>
  <si>
    <t>GUSTAVO CARLOS MARONI</t>
  </si>
  <si>
    <t>989528122</t>
  </si>
  <si>
    <t>4930201-Transporte rodoviário de carga, exceto produtos perigosos e mudanças, municipal\5212500-Carga e descarga\5320201-Serviços de malote não realizados pelo Correio Nacional\5320202-Serviços de entrega rápida\7719599-Locação de outros meios de transporte não especificados anteriormente, sem condutor\</t>
  </si>
  <si>
    <t>115.897.002.118</t>
  </si>
  <si>
    <t>82.689.514/0001-60</t>
  </si>
  <si>
    <t>TRANSPORTES TREMEA LTDA</t>
  </si>
  <si>
    <t>10/1/1990</t>
  </si>
  <si>
    <t>03</t>
  </si>
  <si>
    <t>212</t>
  </si>
  <si>
    <t>BRCAO AREA INDUSTRIAL</t>
  </si>
  <si>
    <t>CENTRO EMPRESARIAL SERGIO DAVI</t>
  </si>
  <si>
    <t>XAXIM</t>
  </si>
  <si>
    <t>89825000</t>
  </si>
  <si>
    <t>991502219</t>
  </si>
  <si>
    <t>999132786</t>
  </si>
  <si>
    <t>999187744</t>
  </si>
  <si>
    <t>33539800</t>
  </si>
  <si>
    <t>JOSE RICARDO TREMEA</t>
  </si>
  <si>
    <t>984292811</t>
  </si>
  <si>
    <t>GLAUCON TREMEA</t>
  </si>
  <si>
    <t>999186677</t>
  </si>
  <si>
    <t>UILIAM RICARDO TREMEA</t>
  </si>
  <si>
    <t>999673672</t>
  </si>
  <si>
    <t>4930201-Transporte rodoviário de carga, exceto produtos perigosos e mudanças, municipal\5212500-Carga e descarga</t>
  </si>
  <si>
    <t>252131550</t>
  </si>
  <si>
    <t>13.623.957/0001-36</t>
  </si>
  <si>
    <t>CBSI - COMPANHIA BRASILEIRA DE SERVICOS DE INFRAESTRUTURA</t>
  </si>
  <si>
    <t>CBSI</t>
  </si>
  <si>
    <t>5/3/2011</t>
  </si>
  <si>
    <t>BRIGADEIRO FARIA LIMA</t>
  </si>
  <si>
    <t>3400</t>
  </si>
  <si>
    <t>ANDAR 20 SALA SEPETIBA</t>
  </si>
  <si>
    <t>ITAIM BIBI</t>
  </si>
  <si>
    <t>04538132</t>
  </si>
  <si>
    <t>30497100</t>
  </si>
  <si>
    <t>CONTABIL@CBSI.COM.BR</t>
  </si>
  <si>
    <t>ADRIANA.NOGUEIRA@CBSI.COM.BR</t>
  </si>
  <si>
    <t>ALEXANDRE.SILVA@CBSI.COM.BR</t>
  </si>
  <si>
    <t>DAVID MOISE SALAMA</t>
  </si>
  <si>
    <t>992685407</t>
  </si>
  <si>
    <t>ALAN ROBERTO BISCASSI</t>
  </si>
  <si>
    <t>995832175</t>
  </si>
  <si>
    <t>PEDRO BARROS MERCADANTE OLIVA</t>
  </si>
  <si>
    <t>993260988</t>
  </si>
  <si>
    <t>0230600-Atividades de apoio à produção florestal\2511000-Fabricação de estruturas metálicas\2513600-Fabricação de obras de caldeiraria pesada\2539002-Serviços de tratamento e revestimento em metais\3311200-Manutenção e reparação de tanques, reservatórios metálicos e caldeiras, exceto para veículos\3312102-Manutenção e reparação de aparelhos e instrumentos de medida, teste e controle\3313999-Manutenção e reparação de máquinas, aparelhos e materiais elétricos não especificados anteriormente\3314710-Manutenção e reparação de máquinas e equipamentos para uso geral não especificados anteriormente\3314799-Manutenção e reparação de outras máquinas e equipamentos para usos industriais não especificados anteriormente\3319800-Manutenção e reparação de equipamentos e produtos não especificados anteriormente\3329599-Instalação de outros equipamentos não especificados anteriormente\3900500-Descontaminação e outros serviços de gestão de resíduos\4120400-Construção de edifícios\4211101-Construção de rodovias e ferrovias\4212000-Construção de obras de arte especiais\4221902-Construção de estações e redes de distribuição de energia elétrica\4221905-Manutenção de estações e redes de telecomunicações\4223500-Construção de redes de transportes por dutos, exceto para água e esgoto\4291000-Obras portuárias, marítimas e fluviais\4292801-Montagem de estruturas metálicas\4292802-Obras de montagem industrial\4299599-Outras obras de engenharia civil não especificadas anteriormente\4311801-Demolição de edifícios e outras estruturas\4311802-Preparação de canteiro e limpeza de terreno\4313400-Obras de terraplenagem\4319300-Serviços de preparação do terreno não especificados anteriormente\4321500-Instalação e manutenção elétrica\4322301-Instalações hidráulicas, sanitárias e de gás\4322303-Instalações de sistema de prevenção contra incêndio\4329105-Tratamentos térmicos, acústicos ou de vibração\4329199-Outras obras de instalações em construções não especificadas anteriormente\4330404-Serviços de pintura de edifícios em geral\4391600-Obras de fundações\4399101-Administração de obras\4399102-Montagem e desmontagem de andaimes e outras estruturas temporárias\4399199-Serviços especializados para construção não especificados anteriormente\5212500-Carga e descarga\5223100-Estacionamento de veículos\5231102-Atividades do Operador Portuário\6463800-Outras sociedades de participação, exceto holdings\7112000-Serviços de engenharia\7732202-Aluguel de andaimes\7830200-Fornecimento e gestão de recursos humanos para terceiros\8011101-Atividades de vigilância e segurança privada\8111700-Serviços combinados para apoio a edifícios, exceto condomínios prediais\8121400-Limpeza em prédios e em domicílios\8122200-Imunização e controle de pragas urbanas\8129000-Atividades de limpeza não especificadas anteriormente\8130300-Atividades paisagísticas\</t>
  </si>
  <si>
    <t>129.021.220.114</t>
  </si>
  <si>
    <t>58.892.514/0001-89</t>
  </si>
  <si>
    <t>ESTRUTEL CONSTRUCOES METALICAS LTDA</t>
  </si>
  <si>
    <t>ESTRUTEL ESTRUTURAS METALICAS</t>
  </si>
  <si>
    <t>5/18/1988</t>
  </si>
  <si>
    <t>MARECHAL RONDON</t>
  </si>
  <si>
    <t>LENCOIS PAULISTA</t>
  </si>
  <si>
    <t>18681890</t>
  </si>
  <si>
    <t>996101636</t>
  </si>
  <si>
    <t>996168391</t>
  </si>
  <si>
    <t>996317475</t>
  </si>
  <si>
    <t>32631094</t>
  </si>
  <si>
    <t>NFE@ESTRUTEL.COM.BR</t>
  </si>
  <si>
    <t>DIRETORIA@ESTRUTEL.COM.BR</t>
  </si>
  <si>
    <t>VENDAS@ESTRUTEL.COM.BR</t>
  </si>
  <si>
    <t>LUIZ ANTONIO MORELLI</t>
  </si>
  <si>
    <t>MILENA MORELLI FERREIRA</t>
  </si>
  <si>
    <t>996317472</t>
  </si>
  <si>
    <t>LUIZ VINICIUS MORELLI</t>
  </si>
  <si>
    <t>996022436</t>
  </si>
  <si>
    <t>4120400-Construção de edifícios\4399104-Serviços de operação e fornecimento de equipamentos para transporte e elevação de cargas e pessoas para uso em obras\7112000-Serviços de engenharia\7732201-Aluguel de máquinas e equipamentos para construção sem operador, exceto andaimes</t>
  </si>
  <si>
    <t>416.017.408.115</t>
  </si>
  <si>
    <t>08.964.218/0001-78</t>
  </si>
  <si>
    <t>J S FERREIRA FRIGORIFICO LTDA</t>
  </si>
  <si>
    <t>PRODUTOS LANDIM</t>
  </si>
  <si>
    <t>7/25/2007</t>
  </si>
  <si>
    <t>29 SETEMBRO</t>
  </si>
  <si>
    <t>2400</t>
  </si>
  <si>
    <t>SALA MATANCA</t>
  </si>
  <si>
    <t>MATADOURO</t>
  </si>
  <si>
    <t>VALENCA</t>
  </si>
  <si>
    <t>27600000</t>
  </si>
  <si>
    <t>992691333</t>
  </si>
  <si>
    <t>999387384</t>
  </si>
  <si>
    <t>999401239</t>
  </si>
  <si>
    <t>24531322</t>
  </si>
  <si>
    <t>LANDIMFERREIRA@UOL.COM.BR</t>
  </si>
  <si>
    <t>SANDRO MORETTI LANDIM FERREIRA</t>
  </si>
  <si>
    <t>999650847</t>
  </si>
  <si>
    <t>TONLIN PARTICIPACOES E GESTAO DE BENS S/A</t>
  </si>
  <si>
    <t>0151201-Criação de bovinos para corte\1011204-Frigorífico - abate de bufalinos\1011205-Matadouro - abate de reses sob contrato, exceto abate de suínos\1012102-Abate de pequenos animais\1012103-Frigorífico - abate de suínos\1012104-Matadouro - abate de suínos sob contrato\1013901-Fabricação de produtos de carne\1013902-Preparação de subprodutos do abate\1099699-Fabricação de outros produtos alimentícios não especificados anteriormente\4634601-Comércio atacadista de carnes bovinas e suínas e derivados\4637199-Comércio atacadista especializado em outros produtos alimentícios não especificados anteriormente\4639701-Comércio atacadista de produtos alimentícios em geral\4930202-Transporte rodoviário de carga, exceto produtos perigosos e mudanças, intermunicipal, interestadual e internacional\</t>
  </si>
  <si>
    <t>78.336.820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</si>
</sst>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"/>
    <numFmt numFmtId="165" formatCode="&quot;R$ &quot;#,##0;[Red]&quot;-R$ &quot;#,##0;\-"/>
    <numFmt numFmtId="166" formatCode="#,##0;\-#,##0;\-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mbria"/>
      <family val="1"/>
    </font>
    <font>
      <b/>
      <sz val="11"/>
      <color rgb="FF1F3864"/>
      <name val="Cambria"/>
      <family val="1"/>
    </font>
    <font>
      <b/>
      <sz val="12"/>
      <color rgb="FF1F3864"/>
      <name val="Calibri"/>
      <family val="2"/>
    </font>
    <font>
      <i/>
      <sz val="9"/>
      <color rgb="FF595959"/>
      <name val="Cambria"/>
      <family val="1"/>
    </font>
    <font>
      <b/>
      <sz val="14"/>
      <color rgb="FF1F3864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5" fillId="4" borderId="2" xfId="0" applyFon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3" fontId="4" fillId="4" borderId="2" xfId="0" applyNumberFormat="1" applyFont="1" applyFill="1" applyBorder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9" fillId="3" borderId="1" xfId="0" applyNumberFormat="1" applyFont="1" applyFill="1" applyBorder="1" applyAlignment="1">
      <alignment vertical="center"/>
    </xf>
    <xf numFmtId="166" fontId="9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26" zoomScale="246" zoomScaleNormal="100" workbookViewId="0">
      <selection sqref="A1:F1"/>
    </sheetView>
  </sheetViews>
  <sheetFormatPr baseColWidth="10" defaultColWidth="8.6640625" defaultRowHeight="15" x14ac:dyDescent="0.2"/>
  <cols>
    <col min="1" max="1" width="14" customWidth="1"/>
    <col min="2" max="2" width="16" customWidth="1"/>
    <col min="3" max="3" width="30" customWidth="1"/>
    <col min="4" max="4" width="22" customWidth="1"/>
    <col min="5" max="5" width="16" customWidth="1"/>
    <col min="6" max="6" width="12" customWidth="1"/>
  </cols>
  <sheetData>
    <row r="1" spans="1:6" ht="21" x14ac:dyDescent="0.25">
      <c r="A1" s="4" t="s">
        <v>0</v>
      </c>
      <c r="B1" s="4"/>
      <c r="C1" s="4"/>
      <c r="D1" s="4"/>
      <c r="E1" s="4"/>
      <c r="F1" s="4"/>
    </row>
    <row r="3" spans="1:6" x14ac:dyDescent="0.2">
      <c r="A3" s="3" t="s">
        <v>1</v>
      </c>
      <c r="B3" s="3"/>
      <c r="C3" s="3"/>
      <c r="D3" s="3"/>
      <c r="E3" s="3"/>
      <c r="F3" s="3"/>
    </row>
    <row r="5" spans="1:6" ht="27.75" customHeight="1" x14ac:dyDescent="0.2">
      <c r="A5" s="5" t="s">
        <v>2</v>
      </c>
      <c r="B5" s="5" t="s">
        <v>3</v>
      </c>
      <c r="C5" s="5" t="s">
        <v>4</v>
      </c>
      <c r="D5" s="5" t="s">
        <v>5</v>
      </c>
    </row>
    <row r="6" spans="1:6" x14ac:dyDescent="0.2">
      <c r="A6" s="6" t="s">
        <v>6</v>
      </c>
      <c r="B6" s="7">
        <f>COUNTA(SANDRA!A5:A100)</f>
        <v>47</v>
      </c>
      <c r="C6" s="8">
        <f>SUM(SANDRA!E5:E100)</f>
        <v>10545619542</v>
      </c>
      <c r="D6" s="9">
        <f>SUM(SANDRA!G5:G100)</f>
        <v>11240</v>
      </c>
    </row>
    <row r="7" spans="1:6" x14ac:dyDescent="0.2">
      <c r="A7" s="10" t="s">
        <v>7</v>
      </c>
      <c r="B7" s="11">
        <f>COUNTA(ADRIANA!A5:A100)</f>
        <v>47</v>
      </c>
      <c r="C7" s="12">
        <f>SUM(ADRIANA!E5:E100)</f>
        <v>10435272362</v>
      </c>
      <c r="D7" s="13">
        <f>SUM(ADRIANA!G5:G100)</f>
        <v>11477</v>
      </c>
    </row>
    <row r="8" spans="1:6" x14ac:dyDescent="0.2">
      <c r="A8" s="6" t="s">
        <v>8</v>
      </c>
      <c r="B8" s="7">
        <f>COUNTA(GISLAINE!A5:A100)</f>
        <v>47</v>
      </c>
      <c r="C8" s="8">
        <f>SUM(GISLAINE!E5:E100)</f>
        <v>10368800237</v>
      </c>
      <c r="D8" s="9">
        <f>SUM(GISLAINE!G5:G100)</f>
        <v>12736</v>
      </c>
    </row>
    <row r="9" spans="1:6" x14ac:dyDescent="0.2">
      <c r="A9" s="10" t="s">
        <v>9</v>
      </c>
      <c r="B9" s="11">
        <f>COUNTA(EDUARDO!A5:A100)</f>
        <v>46</v>
      </c>
      <c r="C9" s="12">
        <f>SUM(EDUARDO!E5:E100)</f>
        <v>10152317542</v>
      </c>
      <c r="D9" s="13">
        <f>SUM(EDUARDO!G5:G100)</f>
        <v>14094</v>
      </c>
    </row>
    <row r="10" spans="1:6" x14ac:dyDescent="0.2">
      <c r="A10" s="14" t="s">
        <v>10</v>
      </c>
      <c r="B10" s="15">
        <f>SUM(B6:B9)</f>
        <v>187</v>
      </c>
      <c r="C10" s="16">
        <f>SUM(C6:C9)</f>
        <v>41502009683</v>
      </c>
      <c r="D10" s="17">
        <f>SUM(D6:D9)</f>
        <v>49547</v>
      </c>
    </row>
    <row r="13" spans="1:6" ht="16" x14ac:dyDescent="0.2">
      <c r="A13" s="18" t="s">
        <v>11</v>
      </c>
    </row>
    <row r="14" spans="1:6" ht="16" x14ac:dyDescent="0.2">
      <c r="A14" s="19" t="s">
        <v>12</v>
      </c>
      <c r="B14" s="19" t="s">
        <v>6</v>
      </c>
      <c r="C14" s="19" t="s">
        <v>7</v>
      </c>
      <c r="D14" s="19" t="s">
        <v>8</v>
      </c>
      <c r="E14" s="19" t="s">
        <v>9</v>
      </c>
      <c r="F14" s="19" t="s">
        <v>13</v>
      </c>
    </row>
    <row r="15" spans="1:6" x14ac:dyDescent="0.2">
      <c r="A15" s="20" t="s">
        <v>14</v>
      </c>
      <c r="B15" s="21">
        <v>0</v>
      </c>
      <c r="C15" s="21">
        <v>1</v>
      </c>
      <c r="D15" s="21">
        <v>0</v>
      </c>
      <c r="E15" s="21">
        <v>0</v>
      </c>
      <c r="F15" s="20">
        <f t="shared" ref="F15:F32" si="0">SUM(B15:E15)</f>
        <v>1</v>
      </c>
    </row>
    <row r="16" spans="1:6" x14ac:dyDescent="0.2">
      <c r="A16" s="22" t="s">
        <v>15</v>
      </c>
      <c r="B16" s="23">
        <v>0</v>
      </c>
      <c r="C16" s="23">
        <v>0</v>
      </c>
      <c r="D16" s="23">
        <v>0</v>
      </c>
      <c r="E16" s="23">
        <v>2</v>
      </c>
      <c r="F16" s="22">
        <f t="shared" si="0"/>
        <v>2</v>
      </c>
    </row>
    <row r="17" spans="1:6" x14ac:dyDescent="0.2">
      <c r="A17" s="20" t="s">
        <v>16</v>
      </c>
      <c r="B17" s="21">
        <v>3</v>
      </c>
      <c r="C17" s="21">
        <v>0</v>
      </c>
      <c r="D17" s="21">
        <v>1</v>
      </c>
      <c r="E17" s="21">
        <v>0</v>
      </c>
      <c r="F17" s="20">
        <f t="shared" si="0"/>
        <v>4</v>
      </c>
    </row>
    <row r="18" spans="1:6" x14ac:dyDescent="0.2">
      <c r="A18" s="22" t="s">
        <v>17</v>
      </c>
      <c r="B18" s="23">
        <v>1</v>
      </c>
      <c r="C18" s="23">
        <v>0</v>
      </c>
      <c r="D18" s="23">
        <v>2</v>
      </c>
      <c r="E18" s="23">
        <v>0</v>
      </c>
      <c r="F18" s="22">
        <f t="shared" si="0"/>
        <v>3</v>
      </c>
    </row>
    <row r="19" spans="1:6" x14ac:dyDescent="0.2">
      <c r="A19" s="20" t="s">
        <v>18</v>
      </c>
      <c r="B19" s="21">
        <v>1</v>
      </c>
      <c r="C19" s="21">
        <v>0</v>
      </c>
      <c r="D19" s="21">
        <v>0</v>
      </c>
      <c r="E19" s="21">
        <v>0</v>
      </c>
      <c r="F19" s="20">
        <f t="shared" si="0"/>
        <v>1</v>
      </c>
    </row>
    <row r="20" spans="1:6" x14ac:dyDescent="0.2">
      <c r="A20" s="22" t="s">
        <v>19</v>
      </c>
      <c r="B20" s="23">
        <v>1</v>
      </c>
      <c r="C20" s="23">
        <v>2</v>
      </c>
      <c r="D20" s="23">
        <v>4</v>
      </c>
      <c r="E20" s="23">
        <v>1</v>
      </c>
      <c r="F20" s="22">
        <f t="shared" si="0"/>
        <v>8</v>
      </c>
    </row>
    <row r="21" spans="1:6" x14ac:dyDescent="0.2">
      <c r="A21" s="20" t="s">
        <v>20</v>
      </c>
      <c r="B21" s="21">
        <v>2</v>
      </c>
      <c r="C21" s="21">
        <v>0</v>
      </c>
      <c r="D21" s="21">
        <v>1</v>
      </c>
      <c r="E21" s="21">
        <v>1</v>
      </c>
      <c r="F21" s="20">
        <f t="shared" si="0"/>
        <v>4</v>
      </c>
    </row>
    <row r="22" spans="1:6" x14ac:dyDescent="0.2">
      <c r="A22" s="22" t="s">
        <v>21</v>
      </c>
      <c r="B22" s="23">
        <v>10</v>
      </c>
      <c r="C22" s="23">
        <v>5</v>
      </c>
      <c r="D22" s="23">
        <v>4</v>
      </c>
      <c r="E22" s="23">
        <v>6</v>
      </c>
      <c r="F22" s="22">
        <f t="shared" si="0"/>
        <v>25</v>
      </c>
    </row>
    <row r="23" spans="1:6" x14ac:dyDescent="0.2">
      <c r="A23" s="20" t="s">
        <v>22</v>
      </c>
      <c r="B23" s="21">
        <v>0</v>
      </c>
      <c r="C23" s="21">
        <v>1</v>
      </c>
      <c r="D23" s="21">
        <v>0</v>
      </c>
      <c r="E23" s="21">
        <v>0</v>
      </c>
      <c r="F23" s="20">
        <f t="shared" si="0"/>
        <v>1</v>
      </c>
    </row>
    <row r="24" spans="1:6" x14ac:dyDescent="0.2">
      <c r="A24" s="22" t="s">
        <v>23</v>
      </c>
      <c r="B24" s="23">
        <v>0</v>
      </c>
      <c r="C24" s="23">
        <v>1</v>
      </c>
      <c r="D24" s="23">
        <v>1</v>
      </c>
      <c r="E24" s="23">
        <v>0</v>
      </c>
      <c r="F24" s="22">
        <f t="shared" si="0"/>
        <v>2</v>
      </c>
    </row>
    <row r="25" spans="1:6" x14ac:dyDescent="0.2">
      <c r="A25" s="20" t="s">
        <v>24</v>
      </c>
      <c r="B25" s="21">
        <v>0</v>
      </c>
      <c r="C25" s="21">
        <v>0</v>
      </c>
      <c r="D25" s="21">
        <v>0</v>
      </c>
      <c r="E25" s="21">
        <v>1</v>
      </c>
      <c r="F25" s="20">
        <f t="shared" si="0"/>
        <v>1</v>
      </c>
    </row>
    <row r="26" spans="1:6" x14ac:dyDescent="0.2">
      <c r="A26" s="22" t="s">
        <v>25</v>
      </c>
      <c r="B26" s="23">
        <v>0</v>
      </c>
      <c r="C26" s="23">
        <v>0</v>
      </c>
      <c r="D26" s="23">
        <v>0</v>
      </c>
      <c r="E26" s="23">
        <v>1</v>
      </c>
      <c r="F26" s="22">
        <f t="shared" si="0"/>
        <v>1</v>
      </c>
    </row>
    <row r="27" spans="1:6" x14ac:dyDescent="0.2">
      <c r="A27" s="20" t="s">
        <v>26</v>
      </c>
      <c r="B27" s="21">
        <v>5</v>
      </c>
      <c r="C27" s="21">
        <v>5</v>
      </c>
      <c r="D27" s="21">
        <v>5</v>
      </c>
      <c r="E27" s="21">
        <v>2</v>
      </c>
      <c r="F27" s="20">
        <f t="shared" si="0"/>
        <v>17</v>
      </c>
    </row>
    <row r="28" spans="1:6" x14ac:dyDescent="0.2">
      <c r="A28" s="22" t="s">
        <v>27</v>
      </c>
      <c r="B28" s="23">
        <v>3</v>
      </c>
      <c r="C28" s="23">
        <v>5</v>
      </c>
      <c r="D28" s="23">
        <v>3</v>
      </c>
      <c r="E28" s="23">
        <v>4</v>
      </c>
      <c r="F28" s="22">
        <f t="shared" si="0"/>
        <v>15</v>
      </c>
    </row>
    <row r="29" spans="1:6" x14ac:dyDescent="0.2">
      <c r="A29" s="20" t="s">
        <v>28</v>
      </c>
      <c r="B29" s="21">
        <v>1</v>
      </c>
      <c r="C29" s="21">
        <v>6</v>
      </c>
      <c r="D29" s="21">
        <v>2</v>
      </c>
      <c r="E29" s="21">
        <v>5</v>
      </c>
      <c r="F29" s="20">
        <f t="shared" si="0"/>
        <v>14</v>
      </c>
    </row>
    <row r="30" spans="1:6" x14ac:dyDescent="0.2">
      <c r="A30" s="22" t="s">
        <v>29</v>
      </c>
      <c r="B30" s="23">
        <v>4</v>
      </c>
      <c r="C30" s="23">
        <v>4</v>
      </c>
      <c r="D30" s="23">
        <v>5</v>
      </c>
      <c r="E30" s="23">
        <v>6</v>
      </c>
      <c r="F30" s="22">
        <f t="shared" si="0"/>
        <v>19</v>
      </c>
    </row>
    <row r="31" spans="1:6" x14ac:dyDescent="0.2">
      <c r="A31" s="20" t="s">
        <v>30</v>
      </c>
      <c r="B31" s="21">
        <v>0</v>
      </c>
      <c r="C31" s="21">
        <v>1</v>
      </c>
      <c r="D31" s="21">
        <v>0</v>
      </c>
      <c r="E31" s="21">
        <v>0</v>
      </c>
      <c r="F31" s="20">
        <f t="shared" si="0"/>
        <v>1</v>
      </c>
    </row>
    <row r="32" spans="1:6" x14ac:dyDescent="0.2">
      <c r="A32" s="22" t="s">
        <v>31</v>
      </c>
      <c r="B32" s="23">
        <v>16</v>
      </c>
      <c r="C32" s="23">
        <v>16</v>
      </c>
      <c r="D32" s="23">
        <v>19</v>
      </c>
      <c r="E32" s="23">
        <v>17</v>
      </c>
      <c r="F32" s="22">
        <f t="shared" si="0"/>
        <v>68</v>
      </c>
    </row>
    <row r="34" spans="1:6" x14ac:dyDescent="0.2">
      <c r="A34" s="2" t="s">
        <v>32</v>
      </c>
      <c r="B34" s="2"/>
      <c r="C34" s="2"/>
      <c r="D34" s="2"/>
      <c r="E34" s="2"/>
      <c r="F34" s="2"/>
    </row>
  </sheetData>
  <mergeCells count="3">
    <mergeCell ref="A1:F1"/>
    <mergeCell ref="A3:F3"/>
    <mergeCell ref="A34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31" sqref="B31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12</v>
      </c>
      <c r="U4" s="5" t="s">
        <v>54</v>
      </c>
      <c r="V4" s="5" t="s">
        <v>55</v>
      </c>
      <c r="W4" s="5" t="s">
        <v>56</v>
      </c>
      <c r="X4" s="5" t="s">
        <v>57</v>
      </c>
      <c r="Y4" s="5" t="s">
        <v>58</v>
      </c>
      <c r="Z4" s="5" t="s">
        <v>59</v>
      </c>
      <c r="AA4" s="5" t="s">
        <v>60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  <c r="AG4" s="5" t="s">
        <v>66</v>
      </c>
      <c r="AH4" s="5" t="s">
        <v>67</v>
      </c>
      <c r="AI4" s="5" t="s">
        <v>68</v>
      </c>
      <c r="AJ4" s="5" t="s">
        <v>69</v>
      </c>
      <c r="AK4" s="5" t="s">
        <v>70</v>
      </c>
      <c r="AL4" s="5" t="s">
        <v>71</v>
      </c>
      <c r="AM4" s="5" t="s">
        <v>72</v>
      </c>
      <c r="AN4" s="5" t="s">
        <v>73</v>
      </c>
      <c r="AO4" s="5" t="s">
        <v>74</v>
      </c>
      <c r="AP4" s="5" t="s">
        <v>75</v>
      </c>
      <c r="AQ4" s="5" t="s">
        <v>76</v>
      </c>
      <c r="AR4" s="5" t="s">
        <v>77</v>
      </c>
      <c r="AS4" s="5" t="s">
        <v>78</v>
      </c>
      <c r="AT4" s="5" t="s">
        <v>79</v>
      </c>
      <c r="AU4" s="5" t="s">
        <v>80</v>
      </c>
      <c r="AV4" s="5" t="s">
        <v>81</v>
      </c>
      <c r="AW4" s="5" t="s">
        <v>82</v>
      </c>
      <c r="AX4" s="5" t="s">
        <v>83</v>
      </c>
      <c r="AY4" s="5" t="s">
        <v>84</v>
      </c>
    </row>
    <row r="5" spans="1:51" x14ac:dyDescent="0.2">
      <c r="A5" s="24" t="s">
        <v>85</v>
      </c>
      <c r="B5" s="24" t="s">
        <v>86</v>
      </c>
      <c r="C5" s="24"/>
      <c r="D5" s="24" t="s">
        <v>87</v>
      </c>
      <c r="E5" s="25">
        <v>472761491</v>
      </c>
      <c r="F5" s="25">
        <v>100000000</v>
      </c>
      <c r="G5" s="26">
        <v>70</v>
      </c>
      <c r="H5" s="26">
        <v>914</v>
      </c>
      <c r="I5" s="24" t="s">
        <v>88</v>
      </c>
      <c r="J5" s="24" t="s">
        <v>89</v>
      </c>
      <c r="K5" s="24" t="s">
        <v>90</v>
      </c>
      <c r="L5" s="24" t="s">
        <v>91</v>
      </c>
      <c r="M5" s="24" t="s">
        <v>92</v>
      </c>
      <c r="N5" s="26">
        <v>12</v>
      </c>
      <c r="O5" s="24" t="s">
        <v>93</v>
      </c>
      <c r="P5" s="24" t="s">
        <v>94</v>
      </c>
      <c r="Q5" s="24"/>
      <c r="R5" s="24" t="s">
        <v>95</v>
      </c>
      <c r="S5" s="24" t="s">
        <v>96</v>
      </c>
      <c r="T5" s="24" t="s">
        <v>31</v>
      </c>
      <c r="U5" s="24" t="s">
        <v>97</v>
      </c>
      <c r="V5" s="24" t="s">
        <v>98</v>
      </c>
      <c r="W5" s="24" t="s">
        <v>99</v>
      </c>
      <c r="X5" s="24" t="s">
        <v>100</v>
      </c>
      <c r="Y5" s="24" t="s">
        <v>98</v>
      </c>
      <c r="Z5" s="24" t="s">
        <v>101</v>
      </c>
      <c r="AA5" s="24" t="s">
        <v>100</v>
      </c>
      <c r="AB5" s="24" t="s">
        <v>98</v>
      </c>
      <c r="AC5" s="24" t="s">
        <v>102</v>
      </c>
      <c r="AD5" s="24" t="s">
        <v>100</v>
      </c>
      <c r="AE5" s="24" t="s">
        <v>98</v>
      </c>
      <c r="AF5" s="24" t="s">
        <v>103</v>
      </c>
      <c r="AG5" s="24" t="s">
        <v>104</v>
      </c>
      <c r="AH5" s="24" t="s">
        <v>105</v>
      </c>
      <c r="AI5" s="24" t="s">
        <v>106</v>
      </c>
      <c r="AJ5" s="24" t="s">
        <v>107</v>
      </c>
      <c r="AK5" s="24" t="s">
        <v>108</v>
      </c>
      <c r="AL5" s="24" t="s">
        <v>109</v>
      </c>
      <c r="AM5" s="24" t="s">
        <v>98</v>
      </c>
      <c r="AN5" s="24" t="s">
        <v>110</v>
      </c>
      <c r="AO5" s="24" t="s">
        <v>111</v>
      </c>
      <c r="AP5" s="24" t="s">
        <v>109</v>
      </c>
      <c r="AQ5" s="24" t="s">
        <v>98</v>
      </c>
      <c r="AR5" s="24" t="s">
        <v>112</v>
      </c>
      <c r="AS5" s="24"/>
      <c r="AT5" s="24"/>
      <c r="AU5" s="24"/>
      <c r="AV5" s="24"/>
      <c r="AW5" s="24" t="s">
        <v>113</v>
      </c>
      <c r="AX5" s="24" t="s">
        <v>114</v>
      </c>
      <c r="AY5" s="24" t="s">
        <v>115</v>
      </c>
    </row>
    <row r="6" spans="1:51" x14ac:dyDescent="0.2">
      <c r="A6" s="27" t="s">
        <v>116</v>
      </c>
      <c r="B6" s="27" t="s">
        <v>117</v>
      </c>
      <c r="C6" s="27"/>
      <c r="D6" s="27" t="s">
        <v>87</v>
      </c>
      <c r="E6" s="28">
        <v>455830534</v>
      </c>
      <c r="F6" s="28">
        <v>30500000</v>
      </c>
      <c r="G6" s="29">
        <v>2069</v>
      </c>
      <c r="H6" s="29">
        <v>940</v>
      </c>
      <c r="I6" s="27" t="s">
        <v>88</v>
      </c>
      <c r="J6" s="27" t="s">
        <v>89</v>
      </c>
      <c r="K6" s="27" t="s">
        <v>118</v>
      </c>
      <c r="L6" s="27" t="s">
        <v>119</v>
      </c>
      <c r="M6" s="27" t="s">
        <v>120</v>
      </c>
      <c r="N6" s="29">
        <v>1</v>
      </c>
      <c r="O6" s="27" t="s">
        <v>121</v>
      </c>
      <c r="P6" s="27" t="s">
        <v>122</v>
      </c>
      <c r="Q6" s="27"/>
      <c r="R6" s="27" t="s">
        <v>123</v>
      </c>
      <c r="S6" s="27" t="s">
        <v>124</v>
      </c>
      <c r="T6" s="27" t="s">
        <v>21</v>
      </c>
      <c r="U6" s="27" t="s">
        <v>125</v>
      </c>
      <c r="V6" s="27" t="s">
        <v>126</v>
      </c>
      <c r="W6" s="27" t="s">
        <v>127</v>
      </c>
      <c r="X6" s="27" t="s">
        <v>100</v>
      </c>
      <c r="Y6" s="27" t="s">
        <v>126</v>
      </c>
      <c r="Z6" s="27" t="s">
        <v>128</v>
      </c>
      <c r="AA6" s="27" t="s">
        <v>100</v>
      </c>
      <c r="AB6" s="27" t="s">
        <v>126</v>
      </c>
      <c r="AC6" s="27" t="s">
        <v>129</v>
      </c>
      <c r="AD6" s="27" t="s">
        <v>100</v>
      </c>
      <c r="AE6" s="27" t="s">
        <v>126</v>
      </c>
      <c r="AF6" s="27" t="s">
        <v>130</v>
      </c>
      <c r="AG6" s="27" t="s">
        <v>104</v>
      </c>
      <c r="AH6" s="27" t="s">
        <v>131</v>
      </c>
      <c r="AI6" s="27"/>
      <c r="AJ6" s="27"/>
      <c r="AK6" s="27" t="s">
        <v>132</v>
      </c>
      <c r="AL6" s="27" t="s">
        <v>133</v>
      </c>
      <c r="AM6" s="27" t="s">
        <v>126</v>
      </c>
      <c r="AN6" s="27" t="s">
        <v>134</v>
      </c>
      <c r="AO6" s="27" t="s">
        <v>135</v>
      </c>
      <c r="AP6" s="27" t="s">
        <v>136</v>
      </c>
      <c r="AQ6" s="27" t="s">
        <v>126</v>
      </c>
      <c r="AR6" s="27" t="s">
        <v>128</v>
      </c>
      <c r="AS6" s="27" t="s">
        <v>137</v>
      </c>
      <c r="AT6" s="27" t="s">
        <v>136</v>
      </c>
      <c r="AU6" s="27" t="s">
        <v>126</v>
      </c>
      <c r="AV6" s="27" t="s">
        <v>138</v>
      </c>
      <c r="AW6" s="27" t="s">
        <v>139</v>
      </c>
      <c r="AX6" s="27" t="s">
        <v>140</v>
      </c>
      <c r="AY6" s="27" t="s">
        <v>115</v>
      </c>
    </row>
    <row r="7" spans="1:51" x14ac:dyDescent="0.2">
      <c r="A7" s="24" t="s">
        <v>141</v>
      </c>
      <c r="B7" s="24" t="s">
        <v>142</v>
      </c>
      <c r="C7" s="24"/>
      <c r="D7" s="24" t="s">
        <v>87</v>
      </c>
      <c r="E7" s="25">
        <v>419981320</v>
      </c>
      <c r="F7" s="25">
        <v>54362847</v>
      </c>
      <c r="G7" s="26">
        <v>607</v>
      </c>
      <c r="H7" s="26">
        <v>606</v>
      </c>
      <c r="I7" s="24" t="s">
        <v>143</v>
      </c>
      <c r="J7" s="24" t="s">
        <v>89</v>
      </c>
      <c r="K7" s="24" t="s">
        <v>144</v>
      </c>
      <c r="L7" s="24" t="s">
        <v>145</v>
      </c>
      <c r="M7" s="24" t="s">
        <v>146</v>
      </c>
      <c r="N7" s="26">
        <v>1</v>
      </c>
      <c r="O7" s="24" t="s">
        <v>147</v>
      </c>
      <c r="P7" s="24"/>
      <c r="Q7" s="24" t="s">
        <v>148</v>
      </c>
      <c r="R7" s="24" t="s">
        <v>149</v>
      </c>
      <c r="S7" s="24" t="s">
        <v>150</v>
      </c>
      <c r="T7" s="24" t="s">
        <v>16</v>
      </c>
      <c r="U7" s="24" t="s">
        <v>151</v>
      </c>
      <c r="V7" s="24" t="s">
        <v>152</v>
      </c>
      <c r="W7" s="24" t="s">
        <v>153</v>
      </c>
      <c r="X7" s="24" t="s">
        <v>100</v>
      </c>
      <c r="Y7" s="24" t="s">
        <v>152</v>
      </c>
      <c r="Z7" s="24" t="s">
        <v>154</v>
      </c>
      <c r="AA7" s="24" t="s">
        <v>100</v>
      </c>
      <c r="AB7" s="24" t="s">
        <v>152</v>
      </c>
      <c r="AC7" s="24" t="s">
        <v>155</v>
      </c>
      <c r="AD7" s="24" t="s">
        <v>100</v>
      </c>
      <c r="AE7" s="24" t="s">
        <v>152</v>
      </c>
      <c r="AF7" s="24" t="s">
        <v>156</v>
      </c>
      <c r="AG7" s="24" t="s">
        <v>104</v>
      </c>
      <c r="AH7" s="24" t="s">
        <v>157</v>
      </c>
      <c r="AI7" s="24"/>
      <c r="AJ7" s="24"/>
      <c r="AK7" s="24" t="s">
        <v>158</v>
      </c>
      <c r="AL7" s="24" t="s">
        <v>136</v>
      </c>
      <c r="AM7" s="24" t="s">
        <v>152</v>
      </c>
      <c r="AN7" s="24" t="s">
        <v>159</v>
      </c>
      <c r="AO7" s="24" t="s">
        <v>160</v>
      </c>
      <c r="AP7" s="24" t="s">
        <v>136</v>
      </c>
      <c r="AQ7" s="24" t="s">
        <v>152</v>
      </c>
      <c r="AR7" s="24" t="s">
        <v>161</v>
      </c>
      <c r="AS7" s="24" t="s">
        <v>162</v>
      </c>
      <c r="AT7" s="24" t="s">
        <v>163</v>
      </c>
      <c r="AU7" s="24" t="s">
        <v>152</v>
      </c>
      <c r="AV7" s="24" t="s">
        <v>156</v>
      </c>
      <c r="AW7" s="24" t="s">
        <v>164</v>
      </c>
      <c r="AX7" s="24" t="s">
        <v>165</v>
      </c>
      <c r="AY7" s="24" t="s">
        <v>115</v>
      </c>
    </row>
    <row r="8" spans="1:51" x14ac:dyDescent="0.2">
      <c r="A8" s="27" t="s">
        <v>166</v>
      </c>
      <c r="B8" s="27" t="s">
        <v>167</v>
      </c>
      <c r="C8" s="27"/>
      <c r="D8" s="27" t="s">
        <v>87</v>
      </c>
      <c r="E8" s="28">
        <v>408374455</v>
      </c>
      <c r="F8" s="28">
        <v>14350450</v>
      </c>
      <c r="G8" s="29">
        <v>416</v>
      </c>
      <c r="H8" s="29">
        <v>900</v>
      </c>
      <c r="I8" s="27" t="s">
        <v>88</v>
      </c>
      <c r="J8" s="27" t="s">
        <v>89</v>
      </c>
      <c r="K8" s="27" t="s">
        <v>168</v>
      </c>
      <c r="L8" s="27" t="s">
        <v>169</v>
      </c>
      <c r="M8" s="27" t="s">
        <v>170</v>
      </c>
      <c r="N8" s="29">
        <v>0</v>
      </c>
      <c r="O8" s="27" t="s">
        <v>171</v>
      </c>
      <c r="P8" s="27" t="s">
        <v>172</v>
      </c>
      <c r="Q8" s="27"/>
      <c r="R8" s="27" t="s">
        <v>173</v>
      </c>
      <c r="S8" s="27" t="s">
        <v>174</v>
      </c>
      <c r="T8" s="27" t="s">
        <v>21</v>
      </c>
      <c r="U8" s="27" t="s">
        <v>175</v>
      </c>
      <c r="V8" s="27" t="s">
        <v>176</v>
      </c>
      <c r="W8" s="27" t="s">
        <v>177</v>
      </c>
      <c r="X8" s="27" t="s">
        <v>100</v>
      </c>
      <c r="Y8" s="27" t="s">
        <v>176</v>
      </c>
      <c r="Z8" s="27" t="s">
        <v>178</v>
      </c>
      <c r="AA8" s="27" t="s">
        <v>100</v>
      </c>
      <c r="AB8" s="27" t="s">
        <v>176</v>
      </c>
      <c r="AC8" s="27" t="s">
        <v>179</v>
      </c>
      <c r="AD8" s="27" t="s">
        <v>100</v>
      </c>
      <c r="AE8" s="27" t="s">
        <v>176</v>
      </c>
      <c r="AF8" s="27" t="s">
        <v>180</v>
      </c>
      <c r="AG8" s="27" t="s">
        <v>104</v>
      </c>
      <c r="AH8" s="27" t="s">
        <v>181</v>
      </c>
      <c r="AI8" s="27" t="s">
        <v>182</v>
      </c>
      <c r="AJ8" s="27" t="s">
        <v>183</v>
      </c>
      <c r="AK8" s="27" t="s">
        <v>184</v>
      </c>
      <c r="AL8" s="27" t="s">
        <v>185</v>
      </c>
      <c r="AM8" s="27" t="s">
        <v>176</v>
      </c>
      <c r="AN8" s="27" t="s">
        <v>186</v>
      </c>
      <c r="AO8" s="27" t="s">
        <v>187</v>
      </c>
      <c r="AP8" s="27" t="s">
        <v>109</v>
      </c>
      <c r="AQ8" s="27"/>
      <c r="AR8" s="27"/>
      <c r="AS8" s="27"/>
      <c r="AT8" s="27"/>
      <c r="AU8" s="27"/>
      <c r="AV8" s="27"/>
      <c r="AW8" s="27" t="s">
        <v>188</v>
      </c>
      <c r="AX8" s="27" t="s">
        <v>189</v>
      </c>
      <c r="AY8" s="27" t="s">
        <v>115</v>
      </c>
    </row>
    <row r="9" spans="1:51" x14ac:dyDescent="0.2">
      <c r="A9" s="24" t="s">
        <v>190</v>
      </c>
      <c r="B9" s="24" t="s">
        <v>191</v>
      </c>
      <c r="C9" s="24"/>
      <c r="D9" s="24" t="s">
        <v>87</v>
      </c>
      <c r="E9" s="25">
        <v>391025934</v>
      </c>
      <c r="F9" s="25">
        <v>15000000</v>
      </c>
      <c r="G9" s="26">
        <v>316</v>
      </c>
      <c r="H9" s="26">
        <v>917</v>
      </c>
      <c r="I9" s="24" t="s">
        <v>88</v>
      </c>
      <c r="J9" s="24" t="s">
        <v>89</v>
      </c>
      <c r="K9" s="24" t="s">
        <v>192</v>
      </c>
      <c r="L9" s="24" t="s">
        <v>193</v>
      </c>
      <c r="M9" s="24" t="s">
        <v>194</v>
      </c>
      <c r="N9" s="26">
        <v>2</v>
      </c>
      <c r="O9" s="24" t="s">
        <v>195</v>
      </c>
      <c r="P9" s="24" t="s">
        <v>196</v>
      </c>
      <c r="Q9" s="24"/>
      <c r="R9" s="24" t="s">
        <v>197</v>
      </c>
      <c r="S9" s="24" t="s">
        <v>198</v>
      </c>
      <c r="T9" s="24" t="s">
        <v>21</v>
      </c>
      <c r="U9" s="24" t="s">
        <v>199</v>
      </c>
      <c r="V9" s="24" t="s">
        <v>126</v>
      </c>
      <c r="W9" s="24" t="s">
        <v>200</v>
      </c>
      <c r="X9" s="24" t="s">
        <v>100</v>
      </c>
      <c r="Y9" s="24" t="s">
        <v>126</v>
      </c>
      <c r="Z9" s="24" t="s">
        <v>201</v>
      </c>
      <c r="AA9" s="24" t="s">
        <v>100</v>
      </c>
      <c r="AB9" s="24" t="s">
        <v>126</v>
      </c>
      <c r="AC9" s="24" t="s">
        <v>202</v>
      </c>
      <c r="AD9" s="24" t="s">
        <v>100</v>
      </c>
      <c r="AE9" s="24" t="s">
        <v>126</v>
      </c>
      <c r="AF9" s="24" t="s">
        <v>203</v>
      </c>
      <c r="AG9" s="24" t="s">
        <v>104</v>
      </c>
      <c r="AH9" s="24" t="s">
        <v>204</v>
      </c>
      <c r="AI9" s="24" t="s">
        <v>205</v>
      </c>
      <c r="AJ9" s="24" t="s">
        <v>206</v>
      </c>
      <c r="AK9" s="24" t="s">
        <v>207</v>
      </c>
      <c r="AL9" s="24" t="s">
        <v>208</v>
      </c>
      <c r="AM9" s="24" t="s">
        <v>126</v>
      </c>
      <c r="AN9" s="24" t="s">
        <v>209</v>
      </c>
      <c r="AO9" s="24" t="s">
        <v>210</v>
      </c>
      <c r="AP9" s="24" t="s">
        <v>109</v>
      </c>
      <c r="AQ9" s="24" t="s">
        <v>126</v>
      </c>
      <c r="AR9" s="24" t="s">
        <v>211</v>
      </c>
      <c r="AS9" s="24" t="s">
        <v>212</v>
      </c>
      <c r="AT9" s="24" t="s">
        <v>208</v>
      </c>
      <c r="AU9" s="24" t="s">
        <v>213</v>
      </c>
      <c r="AV9" s="24" t="s">
        <v>214</v>
      </c>
      <c r="AW9" s="24" t="s">
        <v>215</v>
      </c>
      <c r="AX9" s="24" t="s">
        <v>216</v>
      </c>
      <c r="AY9" s="24" t="s">
        <v>115</v>
      </c>
    </row>
    <row r="10" spans="1:51" x14ac:dyDescent="0.2">
      <c r="A10" s="27" t="s">
        <v>217</v>
      </c>
      <c r="B10" s="27" t="s">
        <v>218</v>
      </c>
      <c r="C10" s="27"/>
      <c r="D10" s="27" t="s">
        <v>87</v>
      </c>
      <c r="E10" s="28">
        <v>384199059</v>
      </c>
      <c r="F10" s="28">
        <v>247393395</v>
      </c>
      <c r="G10" s="29">
        <v>651</v>
      </c>
      <c r="H10" s="29">
        <v>464</v>
      </c>
      <c r="I10" s="27" t="s">
        <v>219</v>
      </c>
      <c r="J10" s="27" t="s">
        <v>89</v>
      </c>
      <c r="K10" s="27" t="s">
        <v>220</v>
      </c>
      <c r="L10" s="27" t="s">
        <v>221</v>
      </c>
      <c r="M10" s="27" t="s">
        <v>222</v>
      </c>
      <c r="N10" s="29">
        <v>5</v>
      </c>
      <c r="O10" s="27" t="s">
        <v>223</v>
      </c>
      <c r="P10" s="27" t="s">
        <v>224</v>
      </c>
      <c r="Q10" s="27" t="s">
        <v>225</v>
      </c>
      <c r="R10" s="27" t="s">
        <v>226</v>
      </c>
      <c r="S10" s="27" t="s">
        <v>227</v>
      </c>
      <c r="T10" s="27" t="s">
        <v>29</v>
      </c>
      <c r="U10" s="27" t="s">
        <v>228</v>
      </c>
      <c r="V10" s="27" t="s">
        <v>229</v>
      </c>
      <c r="W10" s="27" t="s">
        <v>230</v>
      </c>
      <c r="X10" s="27" t="s">
        <v>100</v>
      </c>
      <c r="Y10" s="27" t="s">
        <v>229</v>
      </c>
      <c r="Z10" s="27" t="s">
        <v>231</v>
      </c>
      <c r="AA10" s="27" t="s">
        <v>100</v>
      </c>
      <c r="AB10" s="27" t="s">
        <v>229</v>
      </c>
      <c r="AC10" s="27" t="s">
        <v>232</v>
      </c>
      <c r="AD10" s="27" t="s">
        <v>100</v>
      </c>
      <c r="AE10" s="27" t="s">
        <v>233</v>
      </c>
      <c r="AF10" s="27" t="s">
        <v>234</v>
      </c>
      <c r="AG10" s="27" t="s">
        <v>104</v>
      </c>
      <c r="AH10" s="27" t="s">
        <v>235</v>
      </c>
      <c r="AI10" s="27"/>
      <c r="AJ10" s="27"/>
      <c r="AK10" s="27" t="s">
        <v>236</v>
      </c>
      <c r="AL10" s="27" t="s">
        <v>237</v>
      </c>
      <c r="AM10" s="27"/>
      <c r="AN10" s="27"/>
      <c r="AO10" s="27" t="s">
        <v>238</v>
      </c>
      <c r="AP10" s="27" t="s">
        <v>136</v>
      </c>
      <c r="AQ10" s="27" t="s">
        <v>233</v>
      </c>
      <c r="AR10" s="27" t="s">
        <v>239</v>
      </c>
      <c r="AS10" s="27"/>
      <c r="AT10" s="27"/>
      <c r="AU10" s="27"/>
      <c r="AV10" s="27"/>
      <c r="AW10" s="27" t="s">
        <v>240</v>
      </c>
      <c r="AX10" s="27" t="s">
        <v>241</v>
      </c>
      <c r="AY10" s="27" t="s">
        <v>115</v>
      </c>
    </row>
    <row r="11" spans="1:51" x14ac:dyDescent="0.2">
      <c r="A11" s="24" t="s">
        <v>242</v>
      </c>
      <c r="B11" s="24" t="s">
        <v>243</v>
      </c>
      <c r="C11" s="24"/>
      <c r="D11" s="24" t="s">
        <v>87</v>
      </c>
      <c r="E11" s="25">
        <v>368955710</v>
      </c>
      <c r="F11" s="25">
        <v>60116176</v>
      </c>
      <c r="G11" s="26">
        <v>188</v>
      </c>
      <c r="H11" s="26">
        <v>930</v>
      </c>
      <c r="I11" s="24" t="s">
        <v>88</v>
      </c>
      <c r="J11" s="24" t="s">
        <v>89</v>
      </c>
      <c r="K11" s="24" t="s">
        <v>244</v>
      </c>
      <c r="L11" s="24" t="s">
        <v>245</v>
      </c>
      <c r="M11" s="24" t="s">
        <v>246</v>
      </c>
      <c r="N11" s="26">
        <v>4</v>
      </c>
      <c r="O11" s="24" t="s">
        <v>247</v>
      </c>
      <c r="P11" s="24"/>
      <c r="Q11" s="24"/>
      <c r="R11" s="24" t="s">
        <v>248</v>
      </c>
      <c r="S11" s="24" t="s">
        <v>249</v>
      </c>
      <c r="T11" s="24" t="s">
        <v>26</v>
      </c>
      <c r="U11" s="24" t="s">
        <v>250</v>
      </c>
      <c r="V11" s="24" t="s">
        <v>126</v>
      </c>
      <c r="W11" s="24" t="s">
        <v>251</v>
      </c>
      <c r="X11" s="24" t="s">
        <v>100</v>
      </c>
      <c r="Y11" s="24" t="s">
        <v>252</v>
      </c>
      <c r="Z11" s="24" t="s">
        <v>253</v>
      </c>
      <c r="AA11" s="24" t="s">
        <v>104</v>
      </c>
      <c r="AB11" s="24"/>
      <c r="AC11" s="24"/>
      <c r="AD11" s="24"/>
      <c r="AE11" s="24"/>
      <c r="AF11" s="24"/>
      <c r="AG11" s="24"/>
      <c r="AH11" s="24" t="s">
        <v>254</v>
      </c>
      <c r="AI11" s="24" t="s">
        <v>255</v>
      </c>
      <c r="AJ11" s="24" t="s">
        <v>256</v>
      </c>
      <c r="AK11" s="24" t="s">
        <v>257</v>
      </c>
      <c r="AL11" s="24" t="s">
        <v>109</v>
      </c>
      <c r="AM11" s="24" t="s">
        <v>258</v>
      </c>
      <c r="AN11" s="24" t="s">
        <v>259</v>
      </c>
      <c r="AO11" s="24" t="s">
        <v>260</v>
      </c>
      <c r="AP11" s="24" t="s">
        <v>109</v>
      </c>
      <c r="AQ11" s="24" t="s">
        <v>258</v>
      </c>
      <c r="AR11" s="24" t="s">
        <v>261</v>
      </c>
      <c r="AS11" s="24" t="s">
        <v>262</v>
      </c>
      <c r="AT11" s="24" t="s">
        <v>109</v>
      </c>
      <c r="AU11" s="24" t="s">
        <v>263</v>
      </c>
      <c r="AV11" s="24" t="s">
        <v>264</v>
      </c>
      <c r="AW11" s="24" t="s">
        <v>265</v>
      </c>
      <c r="AX11" s="24" t="s">
        <v>266</v>
      </c>
      <c r="AY11" s="24" t="s">
        <v>115</v>
      </c>
    </row>
    <row r="12" spans="1:51" x14ac:dyDescent="0.2">
      <c r="A12" s="27" t="s">
        <v>267</v>
      </c>
      <c r="B12" s="27" t="s">
        <v>268</v>
      </c>
      <c r="C12" s="27" t="s">
        <v>269</v>
      </c>
      <c r="D12" s="27" t="s">
        <v>87</v>
      </c>
      <c r="E12" s="28">
        <v>357152613</v>
      </c>
      <c r="F12" s="28">
        <v>20000000</v>
      </c>
      <c r="G12" s="29">
        <v>26</v>
      </c>
      <c r="H12" s="29">
        <v>206</v>
      </c>
      <c r="I12" s="27" t="s">
        <v>270</v>
      </c>
      <c r="J12" s="27" t="s">
        <v>89</v>
      </c>
      <c r="K12" s="27" t="s">
        <v>271</v>
      </c>
      <c r="L12" s="27" t="s">
        <v>272</v>
      </c>
      <c r="M12" s="27" t="s">
        <v>273</v>
      </c>
      <c r="N12" s="29">
        <v>0</v>
      </c>
      <c r="O12" s="27" t="s">
        <v>274</v>
      </c>
      <c r="P12" s="27" t="s">
        <v>275</v>
      </c>
      <c r="Q12" s="27" t="s">
        <v>276</v>
      </c>
      <c r="R12" s="27" t="s">
        <v>277</v>
      </c>
      <c r="S12" s="27" t="s">
        <v>278</v>
      </c>
      <c r="T12" s="27" t="s">
        <v>26</v>
      </c>
      <c r="U12" s="27" t="s">
        <v>279</v>
      </c>
      <c r="V12" s="27" t="s">
        <v>280</v>
      </c>
      <c r="W12" s="27" t="s">
        <v>281</v>
      </c>
      <c r="X12" s="27" t="s">
        <v>104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 t="s">
        <v>282</v>
      </c>
      <c r="AI12" s="27" t="s">
        <v>283</v>
      </c>
      <c r="AJ12" s="27" t="s">
        <v>284</v>
      </c>
      <c r="AK12" s="27" t="s">
        <v>285</v>
      </c>
      <c r="AL12" s="27" t="s">
        <v>286</v>
      </c>
      <c r="AM12" s="27" t="s">
        <v>98</v>
      </c>
      <c r="AN12" s="27" t="s">
        <v>287</v>
      </c>
      <c r="AO12" s="27"/>
      <c r="AP12" s="27"/>
      <c r="AQ12" s="27"/>
      <c r="AR12" s="27"/>
      <c r="AS12" s="27"/>
      <c r="AT12" s="27"/>
      <c r="AU12" s="27"/>
      <c r="AV12" s="27"/>
      <c r="AW12" s="27" t="s">
        <v>288</v>
      </c>
      <c r="AX12" s="27" t="s">
        <v>289</v>
      </c>
      <c r="AY12" s="27" t="s">
        <v>290</v>
      </c>
    </row>
    <row r="13" spans="1:51" x14ac:dyDescent="0.2">
      <c r="A13" s="24" t="s">
        <v>291</v>
      </c>
      <c r="B13" s="24" t="s">
        <v>292</v>
      </c>
      <c r="C13" s="24" t="s">
        <v>293</v>
      </c>
      <c r="D13" s="24" t="s">
        <v>87</v>
      </c>
      <c r="E13" s="25">
        <v>333829029</v>
      </c>
      <c r="F13" s="25">
        <v>32449000</v>
      </c>
      <c r="G13" s="26">
        <v>32</v>
      </c>
      <c r="H13" s="26">
        <v>967</v>
      </c>
      <c r="I13" s="24" t="s">
        <v>88</v>
      </c>
      <c r="J13" s="24" t="s">
        <v>89</v>
      </c>
      <c r="K13" s="24" t="s">
        <v>294</v>
      </c>
      <c r="L13" s="24" t="s">
        <v>295</v>
      </c>
      <c r="M13" s="24" t="s">
        <v>296</v>
      </c>
      <c r="N13" s="26">
        <v>3</v>
      </c>
      <c r="O13" s="24" t="s">
        <v>297</v>
      </c>
      <c r="P13" s="24" t="s">
        <v>298</v>
      </c>
      <c r="Q13" s="24" t="s">
        <v>299</v>
      </c>
      <c r="R13" s="24" t="s">
        <v>300</v>
      </c>
      <c r="S13" s="24" t="s">
        <v>301</v>
      </c>
      <c r="T13" s="24" t="s">
        <v>31</v>
      </c>
      <c r="U13" s="24" t="s">
        <v>302</v>
      </c>
      <c r="V13" s="24" t="s">
        <v>98</v>
      </c>
      <c r="W13" s="24" t="s">
        <v>303</v>
      </c>
      <c r="X13" s="24" t="s">
        <v>104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 t="s">
        <v>304</v>
      </c>
      <c r="AI13" s="24" t="s">
        <v>305</v>
      </c>
      <c r="AJ13" s="24" t="s">
        <v>306</v>
      </c>
      <c r="AK13" s="24" t="s">
        <v>307</v>
      </c>
      <c r="AL13" s="24" t="s">
        <v>185</v>
      </c>
      <c r="AM13" s="24" t="s">
        <v>98</v>
      </c>
      <c r="AN13" s="24" t="s">
        <v>308</v>
      </c>
      <c r="AO13" s="24" t="s">
        <v>309</v>
      </c>
      <c r="AP13" s="24" t="s">
        <v>109</v>
      </c>
      <c r="AQ13" s="24" t="s">
        <v>98</v>
      </c>
      <c r="AR13" s="24" t="s">
        <v>310</v>
      </c>
      <c r="AS13" s="24"/>
      <c r="AT13" s="24"/>
      <c r="AU13" s="24"/>
      <c r="AV13" s="24"/>
      <c r="AW13" s="24" t="s">
        <v>311</v>
      </c>
      <c r="AX13" s="24" t="s">
        <v>312</v>
      </c>
      <c r="AY13" s="24" t="s">
        <v>115</v>
      </c>
    </row>
    <row r="14" spans="1:51" x14ac:dyDescent="0.2">
      <c r="A14" s="27" t="s">
        <v>313</v>
      </c>
      <c r="B14" s="27" t="s">
        <v>314</v>
      </c>
      <c r="C14" s="27"/>
      <c r="D14" s="27" t="s">
        <v>87</v>
      </c>
      <c r="E14" s="28">
        <v>327762506</v>
      </c>
      <c r="F14" s="28">
        <v>13153280</v>
      </c>
      <c r="G14" s="29">
        <v>235</v>
      </c>
      <c r="H14" s="29">
        <v>864</v>
      </c>
      <c r="I14" s="27" t="s">
        <v>88</v>
      </c>
      <c r="J14" s="27" t="s">
        <v>89</v>
      </c>
      <c r="K14" s="27" t="s">
        <v>90</v>
      </c>
      <c r="L14" s="27" t="s">
        <v>91</v>
      </c>
      <c r="M14" s="27" t="s">
        <v>315</v>
      </c>
      <c r="N14" s="29">
        <v>9</v>
      </c>
      <c r="O14" s="27" t="s">
        <v>316</v>
      </c>
      <c r="P14" s="27" t="s">
        <v>317</v>
      </c>
      <c r="Q14" s="27"/>
      <c r="R14" s="27" t="s">
        <v>318</v>
      </c>
      <c r="S14" s="27" t="s">
        <v>319</v>
      </c>
      <c r="T14" s="27" t="s">
        <v>31</v>
      </c>
      <c r="U14" s="27" t="s">
        <v>320</v>
      </c>
      <c r="V14" s="27" t="s">
        <v>321</v>
      </c>
      <c r="W14" s="27" t="s">
        <v>322</v>
      </c>
      <c r="X14" s="27" t="s">
        <v>100</v>
      </c>
      <c r="Y14" s="27" t="s">
        <v>98</v>
      </c>
      <c r="Z14" s="27" t="s">
        <v>323</v>
      </c>
      <c r="AA14" s="27" t="s">
        <v>100</v>
      </c>
      <c r="AB14" s="27" t="s">
        <v>98</v>
      </c>
      <c r="AC14" s="27" t="s">
        <v>324</v>
      </c>
      <c r="AD14" s="27" t="s">
        <v>104</v>
      </c>
      <c r="AE14" s="27"/>
      <c r="AF14" s="27"/>
      <c r="AG14" s="27"/>
      <c r="AH14" s="27" t="s">
        <v>325</v>
      </c>
      <c r="AI14" s="27" t="s">
        <v>326</v>
      </c>
      <c r="AJ14" s="27"/>
      <c r="AK14" s="27" t="s">
        <v>327</v>
      </c>
      <c r="AL14" s="27" t="s">
        <v>328</v>
      </c>
      <c r="AM14" s="27" t="s">
        <v>98</v>
      </c>
      <c r="AN14" s="27" t="s">
        <v>329</v>
      </c>
      <c r="AO14" s="27" t="s">
        <v>330</v>
      </c>
      <c r="AP14" s="27" t="s">
        <v>109</v>
      </c>
      <c r="AQ14" s="27" t="s">
        <v>321</v>
      </c>
      <c r="AR14" s="27" t="s">
        <v>331</v>
      </c>
      <c r="AS14" s="27"/>
      <c r="AT14" s="27"/>
      <c r="AU14" s="27"/>
      <c r="AV14" s="27"/>
      <c r="AW14" s="27" t="s">
        <v>332</v>
      </c>
      <c r="AX14" s="27" t="s">
        <v>333</v>
      </c>
      <c r="AY14" s="27" t="s">
        <v>115</v>
      </c>
    </row>
    <row r="15" spans="1:51" x14ac:dyDescent="0.2">
      <c r="A15" s="24" t="s">
        <v>334</v>
      </c>
      <c r="B15" s="24" t="s">
        <v>335</v>
      </c>
      <c r="C15" s="24"/>
      <c r="D15" s="24" t="s">
        <v>87</v>
      </c>
      <c r="E15" s="25">
        <v>303447574</v>
      </c>
      <c r="F15" s="25">
        <v>87004818</v>
      </c>
      <c r="G15" s="26">
        <v>22</v>
      </c>
      <c r="H15" s="26">
        <v>290</v>
      </c>
      <c r="I15" s="24" t="s">
        <v>270</v>
      </c>
      <c r="J15" s="24" t="s">
        <v>89</v>
      </c>
      <c r="K15" s="24" t="s">
        <v>336</v>
      </c>
      <c r="L15" s="24" t="s">
        <v>337</v>
      </c>
      <c r="M15" s="24" t="s">
        <v>338</v>
      </c>
      <c r="N15" s="26">
        <v>9</v>
      </c>
      <c r="O15" s="24" t="s">
        <v>339</v>
      </c>
      <c r="P15" s="24"/>
      <c r="Q15" s="24" t="s">
        <v>340</v>
      </c>
      <c r="R15" s="24" t="s">
        <v>341</v>
      </c>
      <c r="S15" s="24" t="s">
        <v>342</v>
      </c>
      <c r="T15" s="24" t="s">
        <v>31</v>
      </c>
      <c r="U15" s="24" t="s">
        <v>343</v>
      </c>
      <c r="V15" s="24" t="s">
        <v>126</v>
      </c>
      <c r="W15" s="24" t="s">
        <v>344</v>
      </c>
      <c r="X15" s="24" t="s">
        <v>100</v>
      </c>
      <c r="Y15" s="24" t="s">
        <v>126</v>
      </c>
      <c r="Z15" s="24" t="s">
        <v>345</v>
      </c>
      <c r="AA15" s="24" t="s">
        <v>100</v>
      </c>
      <c r="AB15" s="24" t="s">
        <v>126</v>
      </c>
      <c r="AC15" s="24" t="s">
        <v>346</v>
      </c>
      <c r="AD15" s="24" t="s">
        <v>100</v>
      </c>
      <c r="AE15" s="24" t="s">
        <v>98</v>
      </c>
      <c r="AF15" s="24" t="s">
        <v>347</v>
      </c>
      <c r="AG15" s="24" t="s">
        <v>104</v>
      </c>
      <c r="AH15" s="24" t="s">
        <v>348</v>
      </c>
      <c r="AI15" s="24"/>
      <c r="AJ15" s="24"/>
      <c r="AK15" s="24" t="s">
        <v>349</v>
      </c>
      <c r="AL15" s="24" t="s">
        <v>237</v>
      </c>
      <c r="AM15" s="24"/>
      <c r="AN15" s="24"/>
      <c r="AO15" s="24" t="s">
        <v>350</v>
      </c>
      <c r="AP15" s="24" t="s">
        <v>237</v>
      </c>
      <c r="AQ15" s="24"/>
      <c r="AR15" s="24"/>
      <c r="AS15" s="24" t="s">
        <v>351</v>
      </c>
      <c r="AT15" s="24" t="s">
        <v>136</v>
      </c>
      <c r="AU15" s="24" t="s">
        <v>352</v>
      </c>
      <c r="AV15" s="24" t="s">
        <v>353</v>
      </c>
      <c r="AW15" s="24" t="s">
        <v>354</v>
      </c>
      <c r="AX15" s="24" t="s">
        <v>355</v>
      </c>
      <c r="AY15" s="24" t="s">
        <v>115</v>
      </c>
    </row>
    <row r="16" spans="1:51" x14ac:dyDescent="0.2">
      <c r="A16" s="27" t="s">
        <v>356</v>
      </c>
      <c r="B16" s="27" t="s">
        <v>357</v>
      </c>
      <c r="C16" s="27"/>
      <c r="D16" s="27" t="s">
        <v>87</v>
      </c>
      <c r="E16" s="28">
        <v>287327513</v>
      </c>
      <c r="F16" s="28">
        <v>300000</v>
      </c>
      <c r="G16" s="29">
        <v>619</v>
      </c>
      <c r="H16" s="29">
        <v>861</v>
      </c>
      <c r="I16" s="27" t="s">
        <v>88</v>
      </c>
      <c r="J16" s="27" t="s">
        <v>89</v>
      </c>
      <c r="K16" s="27" t="s">
        <v>90</v>
      </c>
      <c r="L16" s="27" t="s">
        <v>91</v>
      </c>
      <c r="M16" s="27" t="s">
        <v>358</v>
      </c>
      <c r="N16" s="29">
        <v>1</v>
      </c>
      <c r="O16" s="27" t="s">
        <v>359</v>
      </c>
      <c r="P16" s="27" t="s">
        <v>360</v>
      </c>
      <c r="Q16" s="27"/>
      <c r="R16" s="27" t="s">
        <v>361</v>
      </c>
      <c r="S16" s="27" t="s">
        <v>362</v>
      </c>
      <c r="T16" s="27" t="s">
        <v>19</v>
      </c>
      <c r="U16" s="27" t="s">
        <v>363</v>
      </c>
      <c r="V16" s="27" t="s">
        <v>126</v>
      </c>
      <c r="W16" s="27" t="s">
        <v>364</v>
      </c>
      <c r="X16" s="27" t="s">
        <v>100</v>
      </c>
      <c r="Y16" s="27" t="s">
        <v>321</v>
      </c>
      <c r="Z16" s="27" t="s">
        <v>365</v>
      </c>
      <c r="AA16" s="27" t="s">
        <v>100</v>
      </c>
      <c r="AB16" s="27" t="s">
        <v>321</v>
      </c>
      <c r="AC16" s="27" t="s">
        <v>366</v>
      </c>
      <c r="AD16" s="27" t="s">
        <v>100</v>
      </c>
      <c r="AE16" s="27" t="s">
        <v>321</v>
      </c>
      <c r="AF16" s="27" t="s">
        <v>367</v>
      </c>
      <c r="AG16" s="27" t="s">
        <v>104</v>
      </c>
      <c r="AH16" s="27" t="s">
        <v>368</v>
      </c>
      <c r="AI16" s="27" t="s">
        <v>369</v>
      </c>
      <c r="AJ16" s="27"/>
      <c r="AK16" s="27" t="s">
        <v>370</v>
      </c>
      <c r="AL16" s="27" t="s">
        <v>163</v>
      </c>
      <c r="AM16" s="27" t="s">
        <v>321</v>
      </c>
      <c r="AN16" s="27" t="s">
        <v>371</v>
      </c>
      <c r="AO16" s="27" t="s">
        <v>372</v>
      </c>
      <c r="AP16" s="27" t="s">
        <v>163</v>
      </c>
      <c r="AQ16" s="27" t="s">
        <v>321</v>
      </c>
      <c r="AR16" s="27" t="s">
        <v>373</v>
      </c>
      <c r="AS16" s="27" t="s">
        <v>374</v>
      </c>
      <c r="AT16" s="27" t="s">
        <v>133</v>
      </c>
      <c r="AU16" s="27" t="s">
        <v>321</v>
      </c>
      <c r="AV16" s="27" t="s">
        <v>375</v>
      </c>
      <c r="AW16" s="27" t="s">
        <v>376</v>
      </c>
      <c r="AX16" s="27" t="s">
        <v>377</v>
      </c>
      <c r="AY16" s="27" t="s">
        <v>115</v>
      </c>
    </row>
    <row r="17" spans="1:51" x14ac:dyDescent="0.2">
      <c r="A17" s="24" t="s">
        <v>378</v>
      </c>
      <c r="B17" s="24" t="s">
        <v>379</v>
      </c>
      <c r="C17" s="24"/>
      <c r="D17" s="24" t="s">
        <v>87</v>
      </c>
      <c r="E17" s="25">
        <v>282758528</v>
      </c>
      <c r="F17" s="25">
        <v>40255019</v>
      </c>
      <c r="G17" s="26"/>
      <c r="H17" s="26">
        <v>947</v>
      </c>
      <c r="I17" s="24" t="s">
        <v>88</v>
      </c>
      <c r="J17" s="24" t="s">
        <v>89</v>
      </c>
      <c r="K17" s="24" t="s">
        <v>192</v>
      </c>
      <c r="L17" s="24" t="s">
        <v>193</v>
      </c>
      <c r="M17" s="24" t="s">
        <v>380</v>
      </c>
      <c r="N17" s="26">
        <v>1</v>
      </c>
      <c r="O17" s="24" t="s">
        <v>381</v>
      </c>
      <c r="P17" s="24" t="s">
        <v>382</v>
      </c>
      <c r="Q17" s="24" t="s">
        <v>383</v>
      </c>
      <c r="R17" s="24" t="s">
        <v>384</v>
      </c>
      <c r="S17" s="24" t="s">
        <v>385</v>
      </c>
      <c r="T17" s="24" t="s">
        <v>21</v>
      </c>
      <c r="U17" s="24" t="s">
        <v>386</v>
      </c>
      <c r="V17" s="24" t="s">
        <v>387</v>
      </c>
      <c r="W17" s="24" t="s">
        <v>388</v>
      </c>
      <c r="X17" s="24" t="s">
        <v>100</v>
      </c>
      <c r="Y17" s="24" t="s">
        <v>387</v>
      </c>
      <c r="Z17" s="24" t="s">
        <v>389</v>
      </c>
      <c r="AA17" s="24" t="s">
        <v>100</v>
      </c>
      <c r="AB17" s="24" t="s">
        <v>387</v>
      </c>
      <c r="AC17" s="24" t="s">
        <v>390</v>
      </c>
      <c r="AD17" s="24" t="s">
        <v>100</v>
      </c>
      <c r="AE17" s="24" t="s">
        <v>126</v>
      </c>
      <c r="AF17" s="24" t="s">
        <v>391</v>
      </c>
      <c r="AG17" s="24" t="s">
        <v>104</v>
      </c>
      <c r="AH17" s="24" t="s">
        <v>392</v>
      </c>
      <c r="AI17" s="24"/>
      <c r="AJ17" s="24"/>
      <c r="AK17" s="24" t="s">
        <v>393</v>
      </c>
      <c r="AL17" s="24" t="s">
        <v>109</v>
      </c>
      <c r="AM17" s="24" t="s">
        <v>394</v>
      </c>
      <c r="AN17" s="24" t="s">
        <v>395</v>
      </c>
      <c r="AO17" s="24" t="s">
        <v>396</v>
      </c>
      <c r="AP17" s="24" t="s">
        <v>109</v>
      </c>
      <c r="AQ17" s="24" t="s">
        <v>397</v>
      </c>
      <c r="AR17" s="24" t="s">
        <v>398</v>
      </c>
      <c r="AS17" s="24" t="s">
        <v>399</v>
      </c>
      <c r="AT17" s="24" t="s">
        <v>109</v>
      </c>
      <c r="AU17" s="24" t="s">
        <v>400</v>
      </c>
      <c r="AV17" s="24" t="s">
        <v>401</v>
      </c>
      <c r="AW17" s="24" t="s">
        <v>402</v>
      </c>
      <c r="AX17" s="24" t="s">
        <v>403</v>
      </c>
      <c r="AY17" s="24" t="s">
        <v>115</v>
      </c>
    </row>
    <row r="18" spans="1:51" x14ac:dyDescent="0.2">
      <c r="A18" s="27" t="s">
        <v>404</v>
      </c>
      <c r="B18" s="27" t="s">
        <v>405</v>
      </c>
      <c r="C18" s="27" t="s">
        <v>406</v>
      </c>
      <c r="D18" s="27" t="s">
        <v>87</v>
      </c>
      <c r="E18" s="28">
        <v>275281111</v>
      </c>
      <c r="F18" s="28">
        <v>2060460</v>
      </c>
      <c r="G18" s="29">
        <v>61</v>
      </c>
      <c r="H18" s="29">
        <v>912</v>
      </c>
      <c r="I18" s="27" t="s">
        <v>88</v>
      </c>
      <c r="J18" s="27" t="s">
        <v>89</v>
      </c>
      <c r="K18" s="27" t="s">
        <v>407</v>
      </c>
      <c r="L18" s="27" t="s">
        <v>408</v>
      </c>
      <c r="M18" s="27" t="s">
        <v>409</v>
      </c>
      <c r="N18" s="29">
        <v>3</v>
      </c>
      <c r="O18" s="27" t="s">
        <v>410</v>
      </c>
      <c r="P18" s="27" t="s">
        <v>411</v>
      </c>
      <c r="Q18" s="27" t="s">
        <v>412</v>
      </c>
      <c r="R18" s="27" t="s">
        <v>413</v>
      </c>
      <c r="S18" s="27" t="s">
        <v>414</v>
      </c>
      <c r="T18" s="27" t="s">
        <v>31</v>
      </c>
      <c r="U18" s="27" t="s">
        <v>415</v>
      </c>
      <c r="V18" s="27" t="s">
        <v>416</v>
      </c>
      <c r="W18" s="27" t="s">
        <v>417</v>
      </c>
      <c r="X18" s="27" t="s">
        <v>100</v>
      </c>
      <c r="Y18" s="27" t="s">
        <v>416</v>
      </c>
      <c r="Z18" s="27" t="s">
        <v>418</v>
      </c>
      <c r="AA18" s="27" t="s">
        <v>100</v>
      </c>
      <c r="AB18" s="27" t="s">
        <v>416</v>
      </c>
      <c r="AC18" s="27" t="s">
        <v>419</v>
      </c>
      <c r="AD18" s="27" t="s">
        <v>100</v>
      </c>
      <c r="AE18" s="27" t="s">
        <v>416</v>
      </c>
      <c r="AF18" s="27" t="s">
        <v>420</v>
      </c>
      <c r="AG18" s="27" t="s">
        <v>104</v>
      </c>
      <c r="AH18" s="27" t="s">
        <v>421</v>
      </c>
      <c r="AI18" s="27" t="s">
        <v>422</v>
      </c>
      <c r="AJ18" s="27"/>
      <c r="AK18" s="27" t="s">
        <v>423</v>
      </c>
      <c r="AL18" s="27" t="s">
        <v>185</v>
      </c>
      <c r="AM18" s="27" t="s">
        <v>416</v>
      </c>
      <c r="AN18" s="27" t="s">
        <v>424</v>
      </c>
      <c r="AO18" s="27" t="s">
        <v>425</v>
      </c>
      <c r="AP18" s="27" t="s">
        <v>109</v>
      </c>
      <c r="AQ18" s="27" t="s">
        <v>416</v>
      </c>
      <c r="AR18" s="27" t="s">
        <v>426</v>
      </c>
      <c r="AS18" s="27"/>
      <c r="AT18" s="27"/>
      <c r="AU18" s="27"/>
      <c r="AV18" s="27"/>
      <c r="AW18" s="27" t="s">
        <v>427</v>
      </c>
      <c r="AX18" s="27" t="s">
        <v>428</v>
      </c>
      <c r="AY18" s="27" t="s">
        <v>290</v>
      </c>
    </row>
    <row r="19" spans="1:51" x14ac:dyDescent="0.2">
      <c r="A19" s="24" t="s">
        <v>429</v>
      </c>
      <c r="B19" s="24" t="s">
        <v>430</v>
      </c>
      <c r="C19" s="24"/>
      <c r="D19" s="24" t="s">
        <v>431</v>
      </c>
      <c r="E19" s="25">
        <v>273016956</v>
      </c>
      <c r="F19" s="25">
        <v>212328705</v>
      </c>
      <c r="G19" s="26">
        <v>94</v>
      </c>
      <c r="H19" s="26">
        <v>645</v>
      </c>
      <c r="I19" s="24" t="s">
        <v>143</v>
      </c>
      <c r="J19" s="24" t="s">
        <v>89</v>
      </c>
      <c r="K19" s="24" t="s">
        <v>220</v>
      </c>
      <c r="L19" s="24" t="s">
        <v>221</v>
      </c>
      <c r="M19" s="24" t="s">
        <v>432</v>
      </c>
      <c r="N19" s="26">
        <v>1</v>
      </c>
      <c r="O19" s="24" t="s">
        <v>433</v>
      </c>
      <c r="P19" s="24" t="s">
        <v>434</v>
      </c>
      <c r="Q19" s="24" t="s">
        <v>435</v>
      </c>
      <c r="R19" s="24" t="s">
        <v>436</v>
      </c>
      <c r="S19" s="24" t="s">
        <v>437</v>
      </c>
      <c r="T19" s="24" t="s">
        <v>27</v>
      </c>
      <c r="U19" s="24" t="s">
        <v>438</v>
      </c>
      <c r="V19" s="24" t="s">
        <v>439</v>
      </c>
      <c r="W19" s="24" t="s">
        <v>440</v>
      </c>
      <c r="X19" s="24" t="s">
        <v>100</v>
      </c>
      <c r="Y19" s="24" t="s">
        <v>439</v>
      </c>
      <c r="Z19" s="24" t="s">
        <v>441</v>
      </c>
      <c r="AA19" s="24" t="s">
        <v>100</v>
      </c>
      <c r="AB19" s="24" t="s">
        <v>439</v>
      </c>
      <c r="AC19" s="24" t="s">
        <v>442</v>
      </c>
      <c r="AD19" s="24" t="s">
        <v>100</v>
      </c>
      <c r="AE19" s="24" t="s">
        <v>439</v>
      </c>
      <c r="AF19" s="24" t="s">
        <v>443</v>
      </c>
      <c r="AG19" s="24" t="s">
        <v>104</v>
      </c>
      <c r="AH19" s="24" t="s">
        <v>444</v>
      </c>
      <c r="AI19" s="24" t="s">
        <v>445</v>
      </c>
      <c r="AJ19" s="24" t="s">
        <v>446</v>
      </c>
      <c r="AK19" s="24" t="s">
        <v>447</v>
      </c>
      <c r="AL19" s="24" t="s">
        <v>163</v>
      </c>
      <c r="AM19" s="24" t="s">
        <v>439</v>
      </c>
      <c r="AN19" s="24" t="s">
        <v>448</v>
      </c>
      <c r="AO19" s="24" t="s">
        <v>449</v>
      </c>
      <c r="AP19" s="24" t="s">
        <v>136</v>
      </c>
      <c r="AQ19" s="24" t="s">
        <v>450</v>
      </c>
      <c r="AR19" s="24" t="s">
        <v>451</v>
      </c>
      <c r="AS19" s="24" t="s">
        <v>452</v>
      </c>
      <c r="AT19" s="24" t="s">
        <v>136</v>
      </c>
      <c r="AU19" s="24" t="s">
        <v>98</v>
      </c>
      <c r="AV19" s="24" t="s">
        <v>453</v>
      </c>
      <c r="AW19" s="24" t="s">
        <v>454</v>
      </c>
      <c r="AX19" s="24" t="s">
        <v>455</v>
      </c>
      <c r="AY19" s="24" t="s">
        <v>115</v>
      </c>
    </row>
    <row r="20" spans="1:51" x14ac:dyDescent="0.2">
      <c r="A20" s="27" t="s">
        <v>456</v>
      </c>
      <c r="B20" s="27" t="s">
        <v>457</v>
      </c>
      <c r="C20" s="27"/>
      <c r="D20" s="27" t="s">
        <v>431</v>
      </c>
      <c r="E20" s="28">
        <v>265543364</v>
      </c>
      <c r="F20" s="28">
        <v>32000000</v>
      </c>
      <c r="G20" s="29">
        <v>329</v>
      </c>
      <c r="H20" s="29">
        <v>465</v>
      </c>
      <c r="I20" s="27" t="s">
        <v>219</v>
      </c>
      <c r="J20" s="27" t="s">
        <v>89</v>
      </c>
      <c r="K20" s="27" t="s">
        <v>192</v>
      </c>
      <c r="L20" s="27" t="s">
        <v>193</v>
      </c>
      <c r="M20" s="27" t="s">
        <v>458</v>
      </c>
      <c r="N20" s="29">
        <v>2</v>
      </c>
      <c r="O20" s="27" t="s">
        <v>459</v>
      </c>
      <c r="P20" s="27" t="s">
        <v>460</v>
      </c>
      <c r="Q20" s="27" t="s">
        <v>461</v>
      </c>
      <c r="R20" s="27" t="s">
        <v>462</v>
      </c>
      <c r="S20" s="27" t="s">
        <v>123</v>
      </c>
      <c r="T20" s="27" t="s">
        <v>18</v>
      </c>
      <c r="U20" s="27" t="s">
        <v>463</v>
      </c>
      <c r="V20" s="27" t="s">
        <v>464</v>
      </c>
      <c r="W20" s="27" t="s">
        <v>465</v>
      </c>
      <c r="X20" s="27" t="s">
        <v>100</v>
      </c>
      <c r="Y20" s="27" t="s">
        <v>464</v>
      </c>
      <c r="Z20" s="27" t="s">
        <v>466</v>
      </c>
      <c r="AA20" s="27" t="s">
        <v>100</v>
      </c>
      <c r="AB20" s="27" t="s">
        <v>464</v>
      </c>
      <c r="AC20" s="27" t="s">
        <v>467</v>
      </c>
      <c r="AD20" s="27" t="s">
        <v>100</v>
      </c>
      <c r="AE20" s="27" t="s">
        <v>464</v>
      </c>
      <c r="AF20" s="27" t="s">
        <v>468</v>
      </c>
      <c r="AG20" s="27" t="s">
        <v>104</v>
      </c>
      <c r="AH20" s="27" t="s">
        <v>469</v>
      </c>
      <c r="AI20" s="27" t="s">
        <v>470</v>
      </c>
      <c r="AJ20" s="27" t="s">
        <v>471</v>
      </c>
      <c r="AK20" s="27" t="s">
        <v>472</v>
      </c>
      <c r="AL20" s="27" t="s">
        <v>136</v>
      </c>
      <c r="AM20" s="27" t="s">
        <v>473</v>
      </c>
      <c r="AN20" s="27" t="s">
        <v>474</v>
      </c>
      <c r="AO20" s="27" t="s">
        <v>475</v>
      </c>
      <c r="AP20" s="27" t="s">
        <v>163</v>
      </c>
      <c r="AQ20" s="27" t="s">
        <v>464</v>
      </c>
      <c r="AR20" s="27" t="s">
        <v>476</v>
      </c>
      <c r="AS20" s="27"/>
      <c r="AT20" s="27"/>
      <c r="AU20" s="27"/>
      <c r="AV20" s="27"/>
      <c r="AW20" s="27" t="s">
        <v>477</v>
      </c>
      <c r="AX20" s="27" t="s">
        <v>478</v>
      </c>
      <c r="AY20" s="27" t="s">
        <v>290</v>
      </c>
    </row>
    <row r="21" spans="1:51" x14ac:dyDescent="0.2">
      <c r="A21" s="24" t="s">
        <v>479</v>
      </c>
      <c r="B21" s="24" t="s">
        <v>480</v>
      </c>
      <c r="C21" s="24" t="s">
        <v>481</v>
      </c>
      <c r="D21" s="24" t="s">
        <v>431</v>
      </c>
      <c r="E21" s="25">
        <v>260868277</v>
      </c>
      <c r="F21" s="25">
        <v>91045494</v>
      </c>
      <c r="G21" s="26">
        <v>109</v>
      </c>
      <c r="H21" s="26">
        <v>591</v>
      </c>
      <c r="I21" s="24" t="s">
        <v>143</v>
      </c>
      <c r="J21" s="24" t="s">
        <v>89</v>
      </c>
      <c r="K21" s="24" t="s">
        <v>192</v>
      </c>
      <c r="L21" s="24" t="s">
        <v>193</v>
      </c>
      <c r="M21" s="24" t="s">
        <v>482</v>
      </c>
      <c r="N21" s="26">
        <v>4</v>
      </c>
      <c r="O21" s="24" t="s">
        <v>483</v>
      </c>
      <c r="P21" s="24" t="s">
        <v>484</v>
      </c>
      <c r="Q21" s="24" t="s">
        <v>485</v>
      </c>
      <c r="R21" s="24" t="s">
        <v>486</v>
      </c>
      <c r="S21" s="24" t="s">
        <v>487</v>
      </c>
      <c r="T21" s="24" t="s">
        <v>29</v>
      </c>
      <c r="U21" s="24" t="s">
        <v>488</v>
      </c>
      <c r="V21" s="24" t="s">
        <v>489</v>
      </c>
      <c r="W21" s="24" t="s">
        <v>490</v>
      </c>
      <c r="X21" s="24" t="s">
        <v>100</v>
      </c>
      <c r="Y21" s="24" t="s">
        <v>489</v>
      </c>
      <c r="Z21" s="24" t="s">
        <v>491</v>
      </c>
      <c r="AA21" s="24" t="s">
        <v>100</v>
      </c>
      <c r="AB21" s="24" t="s">
        <v>489</v>
      </c>
      <c r="AC21" s="24" t="s">
        <v>492</v>
      </c>
      <c r="AD21" s="24" t="s">
        <v>100</v>
      </c>
      <c r="AE21" s="24" t="s">
        <v>489</v>
      </c>
      <c r="AF21" s="24" t="s">
        <v>493</v>
      </c>
      <c r="AG21" s="24" t="s">
        <v>104</v>
      </c>
      <c r="AH21" s="24" t="s">
        <v>494</v>
      </c>
      <c r="AI21" s="24" t="s">
        <v>495</v>
      </c>
      <c r="AJ21" s="24" t="s">
        <v>496</v>
      </c>
      <c r="AK21" s="24" t="s">
        <v>497</v>
      </c>
      <c r="AL21" s="24" t="s">
        <v>136</v>
      </c>
      <c r="AM21" s="24" t="s">
        <v>98</v>
      </c>
      <c r="AN21" s="24" t="s">
        <v>498</v>
      </c>
      <c r="AO21" s="24" t="s">
        <v>499</v>
      </c>
      <c r="AP21" s="24" t="s">
        <v>136</v>
      </c>
      <c r="AQ21" s="24" t="s">
        <v>98</v>
      </c>
      <c r="AR21" s="24" t="s">
        <v>500</v>
      </c>
      <c r="AS21" s="24" t="s">
        <v>501</v>
      </c>
      <c r="AT21" s="24" t="s">
        <v>163</v>
      </c>
      <c r="AU21" s="24" t="s">
        <v>98</v>
      </c>
      <c r="AV21" s="24" t="s">
        <v>502</v>
      </c>
      <c r="AW21" s="24" t="s">
        <v>503</v>
      </c>
      <c r="AX21" s="24" t="s">
        <v>504</v>
      </c>
      <c r="AY21" s="24" t="s">
        <v>115</v>
      </c>
    </row>
    <row r="22" spans="1:51" x14ac:dyDescent="0.2">
      <c r="A22" s="27" t="s">
        <v>505</v>
      </c>
      <c r="B22" s="27" t="s">
        <v>506</v>
      </c>
      <c r="C22" s="27" t="s">
        <v>507</v>
      </c>
      <c r="D22" s="27" t="s">
        <v>87</v>
      </c>
      <c r="E22" s="28">
        <v>250330401</v>
      </c>
      <c r="F22" s="28">
        <v>7765000</v>
      </c>
      <c r="G22" s="29">
        <v>83</v>
      </c>
      <c r="H22" s="29">
        <v>542</v>
      </c>
      <c r="I22" s="27" t="s">
        <v>143</v>
      </c>
      <c r="J22" s="27" t="s">
        <v>89</v>
      </c>
      <c r="K22" s="27" t="s">
        <v>220</v>
      </c>
      <c r="L22" s="27" t="s">
        <v>221</v>
      </c>
      <c r="M22" s="27" t="s">
        <v>508</v>
      </c>
      <c r="N22" s="29">
        <v>1</v>
      </c>
      <c r="O22" s="27" t="s">
        <v>509</v>
      </c>
      <c r="P22" s="27" t="s">
        <v>473</v>
      </c>
      <c r="Q22" s="27"/>
      <c r="R22" s="27" t="s">
        <v>510</v>
      </c>
      <c r="S22" s="27" t="s">
        <v>511</v>
      </c>
      <c r="T22" s="27" t="s">
        <v>27</v>
      </c>
      <c r="U22" s="27" t="s">
        <v>512</v>
      </c>
      <c r="V22" s="27" t="s">
        <v>439</v>
      </c>
      <c r="W22" s="27" t="s">
        <v>513</v>
      </c>
      <c r="X22" s="27" t="s">
        <v>100</v>
      </c>
      <c r="Y22" s="27" t="s">
        <v>439</v>
      </c>
      <c r="Z22" s="27" t="s">
        <v>514</v>
      </c>
      <c r="AA22" s="27" t="s">
        <v>100</v>
      </c>
      <c r="AB22" s="27" t="s">
        <v>439</v>
      </c>
      <c r="AC22" s="27" t="s">
        <v>515</v>
      </c>
      <c r="AD22" s="27" t="s">
        <v>104</v>
      </c>
      <c r="AE22" s="27"/>
      <c r="AF22" s="27"/>
      <c r="AG22" s="27"/>
      <c r="AH22" s="27" t="s">
        <v>516</v>
      </c>
      <c r="AI22" s="27" t="s">
        <v>517</v>
      </c>
      <c r="AJ22" s="27" t="s">
        <v>518</v>
      </c>
      <c r="AK22" s="27" t="s">
        <v>519</v>
      </c>
      <c r="AL22" s="27" t="s">
        <v>109</v>
      </c>
      <c r="AM22" s="27" t="s">
        <v>439</v>
      </c>
      <c r="AN22" s="27" t="s">
        <v>520</v>
      </c>
      <c r="AO22" s="27" t="s">
        <v>521</v>
      </c>
      <c r="AP22" s="27" t="s">
        <v>109</v>
      </c>
      <c r="AQ22" s="27"/>
      <c r="AR22" s="27"/>
      <c r="AS22" s="27" t="s">
        <v>522</v>
      </c>
      <c r="AT22" s="27" t="s">
        <v>109</v>
      </c>
      <c r="AU22" s="27" t="s">
        <v>439</v>
      </c>
      <c r="AV22" s="27" t="s">
        <v>523</v>
      </c>
      <c r="AW22" s="27" t="s">
        <v>524</v>
      </c>
      <c r="AX22" s="27" t="s">
        <v>525</v>
      </c>
      <c r="AY22" s="27" t="s">
        <v>290</v>
      </c>
    </row>
    <row r="23" spans="1:51" x14ac:dyDescent="0.2">
      <c r="A23" s="24" t="s">
        <v>526</v>
      </c>
      <c r="B23" s="24" t="s">
        <v>527</v>
      </c>
      <c r="C23" s="24"/>
      <c r="D23" s="24" t="s">
        <v>87</v>
      </c>
      <c r="E23" s="25">
        <v>226346985</v>
      </c>
      <c r="F23" s="25">
        <v>7340000</v>
      </c>
      <c r="G23" s="26">
        <v>239</v>
      </c>
      <c r="H23" s="26">
        <v>961</v>
      </c>
      <c r="I23" s="24" t="s">
        <v>88</v>
      </c>
      <c r="J23" s="24" t="s">
        <v>89</v>
      </c>
      <c r="K23" s="24" t="s">
        <v>90</v>
      </c>
      <c r="L23" s="24" t="s">
        <v>91</v>
      </c>
      <c r="M23" s="24" t="s">
        <v>528</v>
      </c>
      <c r="N23" s="26">
        <v>8</v>
      </c>
      <c r="O23" s="24" t="s">
        <v>529</v>
      </c>
      <c r="P23" s="24" t="s">
        <v>530</v>
      </c>
      <c r="Q23" s="24"/>
      <c r="R23" s="24" t="s">
        <v>531</v>
      </c>
      <c r="S23" s="24" t="s">
        <v>342</v>
      </c>
      <c r="T23" s="24" t="s">
        <v>31</v>
      </c>
      <c r="U23" s="24" t="s">
        <v>532</v>
      </c>
      <c r="V23" s="24" t="s">
        <v>98</v>
      </c>
      <c r="W23" s="24" t="s">
        <v>533</v>
      </c>
      <c r="X23" s="24" t="s">
        <v>104</v>
      </c>
      <c r="Y23" s="24" t="s">
        <v>98</v>
      </c>
      <c r="Z23" s="24" t="s">
        <v>534</v>
      </c>
      <c r="AA23" s="24" t="s">
        <v>100</v>
      </c>
      <c r="AB23" s="24" t="s">
        <v>98</v>
      </c>
      <c r="AC23" s="24" t="s">
        <v>535</v>
      </c>
      <c r="AD23" s="24" t="s">
        <v>100</v>
      </c>
      <c r="AE23" s="24" t="s">
        <v>98</v>
      </c>
      <c r="AF23" s="24" t="s">
        <v>536</v>
      </c>
      <c r="AG23" s="24" t="s">
        <v>100</v>
      </c>
      <c r="AH23" s="24" t="s">
        <v>537</v>
      </c>
      <c r="AI23" s="24"/>
      <c r="AJ23" s="24"/>
      <c r="AK23" s="24" t="s">
        <v>538</v>
      </c>
      <c r="AL23" s="24" t="s">
        <v>133</v>
      </c>
      <c r="AM23" s="24" t="s">
        <v>98</v>
      </c>
      <c r="AN23" s="24" t="s">
        <v>539</v>
      </c>
      <c r="AO23" s="24" t="s">
        <v>540</v>
      </c>
      <c r="AP23" s="24" t="s">
        <v>133</v>
      </c>
      <c r="AQ23" s="24" t="s">
        <v>126</v>
      </c>
      <c r="AR23" s="24" t="s">
        <v>541</v>
      </c>
      <c r="AS23" s="24"/>
      <c r="AT23" s="24"/>
      <c r="AU23" s="24"/>
      <c r="AV23" s="24"/>
      <c r="AW23" s="24" t="s">
        <v>542</v>
      </c>
      <c r="AX23" s="24" t="s">
        <v>543</v>
      </c>
      <c r="AY23" s="24" t="s">
        <v>115</v>
      </c>
    </row>
    <row r="24" spans="1:51" x14ac:dyDescent="0.2">
      <c r="A24" s="27" t="s">
        <v>544</v>
      </c>
      <c r="B24" s="27" t="s">
        <v>545</v>
      </c>
      <c r="C24" s="27" t="s">
        <v>546</v>
      </c>
      <c r="D24" s="27" t="s">
        <v>87</v>
      </c>
      <c r="E24" s="28">
        <v>222712859</v>
      </c>
      <c r="F24" s="28">
        <v>139000000</v>
      </c>
      <c r="G24" s="29">
        <v>10</v>
      </c>
      <c r="H24" s="29">
        <v>913</v>
      </c>
      <c r="I24" s="27" t="s">
        <v>88</v>
      </c>
      <c r="J24" s="27" t="s">
        <v>89</v>
      </c>
      <c r="K24" s="27" t="s">
        <v>90</v>
      </c>
      <c r="L24" s="27" t="s">
        <v>91</v>
      </c>
      <c r="M24" s="27" t="s">
        <v>547</v>
      </c>
      <c r="N24" s="29">
        <v>26</v>
      </c>
      <c r="O24" s="27" t="s">
        <v>548</v>
      </c>
      <c r="P24" s="27" t="s">
        <v>549</v>
      </c>
      <c r="Q24" s="27" t="s">
        <v>550</v>
      </c>
      <c r="R24" s="27" t="s">
        <v>551</v>
      </c>
      <c r="S24" s="27" t="s">
        <v>552</v>
      </c>
      <c r="T24" s="27" t="s">
        <v>20</v>
      </c>
      <c r="U24" s="27" t="s">
        <v>553</v>
      </c>
      <c r="V24" s="27" t="s">
        <v>554</v>
      </c>
      <c r="W24" s="27" t="s">
        <v>555</v>
      </c>
      <c r="X24" s="27" t="s">
        <v>100</v>
      </c>
      <c r="Y24" s="27" t="s">
        <v>554</v>
      </c>
      <c r="Z24" s="27" t="s">
        <v>556</v>
      </c>
      <c r="AA24" s="27" t="s">
        <v>104</v>
      </c>
      <c r="AB24" s="27"/>
      <c r="AC24" s="27"/>
      <c r="AD24" s="27"/>
      <c r="AE24" s="27"/>
      <c r="AF24" s="27"/>
      <c r="AG24" s="27"/>
      <c r="AH24" s="27"/>
      <c r="AI24" s="27"/>
      <c r="AJ24" s="27"/>
      <c r="AK24" s="27" t="s">
        <v>557</v>
      </c>
      <c r="AL24" s="27" t="s">
        <v>133</v>
      </c>
      <c r="AM24" s="27" t="s">
        <v>554</v>
      </c>
      <c r="AN24" s="27" t="s">
        <v>558</v>
      </c>
      <c r="AO24" s="27" t="s">
        <v>559</v>
      </c>
      <c r="AP24" s="27" t="s">
        <v>163</v>
      </c>
      <c r="AQ24" s="27" t="s">
        <v>554</v>
      </c>
      <c r="AR24" s="27" t="s">
        <v>560</v>
      </c>
      <c r="AS24" s="27"/>
      <c r="AT24" s="27"/>
      <c r="AU24" s="27"/>
      <c r="AV24" s="27"/>
      <c r="AW24" s="27" t="s">
        <v>561</v>
      </c>
      <c r="AX24" s="27" t="s">
        <v>562</v>
      </c>
      <c r="AY24" s="27" t="s">
        <v>115</v>
      </c>
    </row>
    <row r="25" spans="1:51" x14ac:dyDescent="0.2">
      <c r="A25" s="24" t="s">
        <v>563</v>
      </c>
      <c r="B25" s="24" t="s">
        <v>564</v>
      </c>
      <c r="C25" s="24" t="s">
        <v>565</v>
      </c>
      <c r="D25" s="24" t="s">
        <v>87</v>
      </c>
      <c r="E25" s="25">
        <v>211674558</v>
      </c>
      <c r="F25" s="25">
        <v>158716438</v>
      </c>
      <c r="G25" s="26">
        <v>498</v>
      </c>
      <c r="H25" s="26">
        <v>666</v>
      </c>
      <c r="I25" s="24" t="s">
        <v>143</v>
      </c>
      <c r="J25" s="24" t="s">
        <v>89</v>
      </c>
      <c r="K25" s="24" t="s">
        <v>90</v>
      </c>
      <c r="L25" s="24" t="s">
        <v>91</v>
      </c>
      <c r="M25" s="24" t="s">
        <v>566</v>
      </c>
      <c r="N25" s="26">
        <v>10</v>
      </c>
      <c r="O25" s="24" t="s">
        <v>567</v>
      </c>
      <c r="P25" s="24" t="s">
        <v>568</v>
      </c>
      <c r="Q25" s="24" t="s">
        <v>569</v>
      </c>
      <c r="R25" s="24" t="s">
        <v>570</v>
      </c>
      <c r="S25" s="24" t="s">
        <v>571</v>
      </c>
      <c r="T25" s="24" t="s">
        <v>29</v>
      </c>
      <c r="U25" s="24" t="s">
        <v>572</v>
      </c>
      <c r="V25" s="24" t="s">
        <v>573</v>
      </c>
      <c r="W25" s="24" t="s">
        <v>574</v>
      </c>
      <c r="X25" s="24" t="s">
        <v>100</v>
      </c>
      <c r="Y25" s="24" t="s">
        <v>573</v>
      </c>
      <c r="Z25" s="24" t="s">
        <v>575</v>
      </c>
      <c r="AA25" s="24" t="s">
        <v>100</v>
      </c>
      <c r="AB25" s="24" t="s">
        <v>573</v>
      </c>
      <c r="AC25" s="24" t="s">
        <v>576</v>
      </c>
      <c r="AD25" s="24" t="s">
        <v>100</v>
      </c>
      <c r="AE25" s="24" t="s">
        <v>573</v>
      </c>
      <c r="AF25" s="24" t="s">
        <v>577</v>
      </c>
      <c r="AG25" s="24" t="s">
        <v>104</v>
      </c>
      <c r="AH25" s="24" t="s">
        <v>578</v>
      </c>
      <c r="AI25" s="24" t="s">
        <v>579</v>
      </c>
      <c r="AJ25" s="24" t="s">
        <v>580</v>
      </c>
      <c r="AK25" s="24" t="s">
        <v>581</v>
      </c>
      <c r="AL25" s="24" t="s">
        <v>136</v>
      </c>
      <c r="AM25" s="24" t="s">
        <v>573</v>
      </c>
      <c r="AN25" s="24" t="s">
        <v>582</v>
      </c>
      <c r="AO25" s="24" t="s">
        <v>583</v>
      </c>
      <c r="AP25" s="24" t="s">
        <v>163</v>
      </c>
      <c r="AQ25" s="24" t="s">
        <v>573</v>
      </c>
      <c r="AR25" s="24" t="s">
        <v>577</v>
      </c>
      <c r="AS25" s="24" t="s">
        <v>584</v>
      </c>
      <c r="AT25" s="24" t="s">
        <v>136</v>
      </c>
      <c r="AU25" s="24" t="s">
        <v>258</v>
      </c>
      <c r="AV25" s="24" t="s">
        <v>585</v>
      </c>
      <c r="AW25" s="24" t="s">
        <v>586</v>
      </c>
      <c r="AX25" s="24" t="s">
        <v>587</v>
      </c>
      <c r="AY25" s="24" t="s">
        <v>115</v>
      </c>
    </row>
    <row r="26" spans="1:51" x14ac:dyDescent="0.2">
      <c r="A26" s="27" t="s">
        <v>588</v>
      </c>
      <c r="B26" s="27" t="s">
        <v>589</v>
      </c>
      <c r="C26" s="27" t="s">
        <v>590</v>
      </c>
      <c r="D26" s="27" t="s">
        <v>87</v>
      </c>
      <c r="E26" s="28">
        <v>204078377</v>
      </c>
      <c r="F26" s="28">
        <v>217622008</v>
      </c>
      <c r="G26" s="29">
        <v>189</v>
      </c>
      <c r="H26" s="29">
        <v>913</v>
      </c>
      <c r="I26" s="27" t="s">
        <v>88</v>
      </c>
      <c r="J26" s="27" t="s">
        <v>89</v>
      </c>
      <c r="K26" s="27" t="s">
        <v>90</v>
      </c>
      <c r="L26" s="27" t="s">
        <v>91</v>
      </c>
      <c r="M26" s="27" t="s">
        <v>591</v>
      </c>
      <c r="N26" s="29">
        <v>22</v>
      </c>
      <c r="O26" s="27" t="s">
        <v>592</v>
      </c>
      <c r="P26" s="27" t="s">
        <v>593</v>
      </c>
      <c r="Q26" s="27"/>
      <c r="R26" s="27" t="s">
        <v>594</v>
      </c>
      <c r="S26" s="27" t="s">
        <v>595</v>
      </c>
      <c r="T26" s="27" t="s">
        <v>31</v>
      </c>
      <c r="U26" s="27" t="s">
        <v>596</v>
      </c>
      <c r="V26" s="27" t="s">
        <v>597</v>
      </c>
      <c r="W26" s="27" t="s">
        <v>598</v>
      </c>
      <c r="X26" s="27" t="s">
        <v>100</v>
      </c>
      <c r="Y26" s="27" t="s">
        <v>599</v>
      </c>
      <c r="Z26" s="27" t="s">
        <v>600</v>
      </c>
      <c r="AA26" s="27" t="s">
        <v>100</v>
      </c>
      <c r="AB26" s="27" t="s">
        <v>597</v>
      </c>
      <c r="AC26" s="27" t="s">
        <v>601</v>
      </c>
      <c r="AD26" s="27" t="s">
        <v>100</v>
      </c>
      <c r="AE26" s="27" t="s">
        <v>98</v>
      </c>
      <c r="AF26" s="27" t="s">
        <v>602</v>
      </c>
      <c r="AG26" s="27" t="s">
        <v>104</v>
      </c>
      <c r="AH26" s="27" t="s">
        <v>603</v>
      </c>
      <c r="AI26" s="27" t="s">
        <v>604</v>
      </c>
      <c r="AJ26" s="27" t="s">
        <v>605</v>
      </c>
      <c r="AK26" s="27" t="s">
        <v>606</v>
      </c>
      <c r="AL26" s="27" t="s">
        <v>109</v>
      </c>
      <c r="AM26" s="27" t="s">
        <v>607</v>
      </c>
      <c r="AN26" s="27" t="s">
        <v>608</v>
      </c>
      <c r="AO26" s="27" t="s">
        <v>609</v>
      </c>
      <c r="AP26" s="27" t="s">
        <v>185</v>
      </c>
      <c r="AQ26" s="27" t="s">
        <v>607</v>
      </c>
      <c r="AR26" s="27" t="s">
        <v>610</v>
      </c>
      <c r="AS26" s="27" t="s">
        <v>611</v>
      </c>
      <c r="AT26" s="27" t="s">
        <v>185</v>
      </c>
      <c r="AU26" s="27" t="s">
        <v>98</v>
      </c>
      <c r="AV26" s="27" t="s">
        <v>612</v>
      </c>
      <c r="AW26" s="27" t="s">
        <v>613</v>
      </c>
      <c r="AX26" s="27" t="s">
        <v>614</v>
      </c>
      <c r="AY26" s="27" t="s">
        <v>115</v>
      </c>
    </row>
    <row r="27" spans="1:51" x14ac:dyDescent="0.2">
      <c r="A27" s="24" t="s">
        <v>615</v>
      </c>
      <c r="B27" s="24" t="s">
        <v>616</v>
      </c>
      <c r="C27" s="24" t="s">
        <v>617</v>
      </c>
      <c r="D27" s="24" t="s">
        <v>87</v>
      </c>
      <c r="E27" s="25">
        <v>200838976</v>
      </c>
      <c r="F27" s="25">
        <v>4000000</v>
      </c>
      <c r="G27" s="26">
        <v>59</v>
      </c>
      <c r="H27" s="26">
        <v>492</v>
      </c>
      <c r="I27" s="24" t="s">
        <v>219</v>
      </c>
      <c r="J27" s="24" t="s">
        <v>89</v>
      </c>
      <c r="K27" s="24" t="s">
        <v>90</v>
      </c>
      <c r="L27" s="24" t="s">
        <v>91</v>
      </c>
      <c r="M27" s="24" t="s">
        <v>618</v>
      </c>
      <c r="N27" s="26">
        <v>10</v>
      </c>
      <c r="O27" s="24" t="s">
        <v>619</v>
      </c>
      <c r="P27" s="24" t="s">
        <v>573</v>
      </c>
      <c r="Q27" s="24"/>
      <c r="R27" s="24" t="s">
        <v>620</v>
      </c>
      <c r="S27" s="24" t="s">
        <v>621</v>
      </c>
      <c r="T27" s="24" t="s">
        <v>29</v>
      </c>
      <c r="U27" s="24" t="s">
        <v>622</v>
      </c>
      <c r="V27" s="24" t="s">
        <v>489</v>
      </c>
      <c r="W27" s="24" t="s">
        <v>623</v>
      </c>
      <c r="X27" s="24" t="s">
        <v>100</v>
      </c>
      <c r="Y27" s="24" t="s">
        <v>233</v>
      </c>
      <c r="Z27" s="24" t="s">
        <v>624</v>
      </c>
      <c r="AA27" s="24" t="s">
        <v>100</v>
      </c>
      <c r="AB27" s="24" t="s">
        <v>233</v>
      </c>
      <c r="AC27" s="24" t="s">
        <v>625</v>
      </c>
      <c r="AD27" s="24" t="s">
        <v>100</v>
      </c>
      <c r="AE27" s="24" t="s">
        <v>233</v>
      </c>
      <c r="AF27" s="24" t="s">
        <v>626</v>
      </c>
      <c r="AG27" s="24" t="s">
        <v>104</v>
      </c>
      <c r="AH27" s="24" t="s">
        <v>627</v>
      </c>
      <c r="AI27" s="24" t="s">
        <v>628</v>
      </c>
      <c r="AJ27" s="24" t="s">
        <v>629</v>
      </c>
      <c r="AK27" s="24" t="s">
        <v>630</v>
      </c>
      <c r="AL27" s="24" t="s">
        <v>163</v>
      </c>
      <c r="AM27" s="24" t="s">
        <v>233</v>
      </c>
      <c r="AN27" s="24" t="s">
        <v>631</v>
      </c>
      <c r="AO27" s="24" t="s">
        <v>632</v>
      </c>
      <c r="AP27" s="24" t="s">
        <v>136</v>
      </c>
      <c r="AQ27" s="24" t="s">
        <v>233</v>
      </c>
      <c r="AR27" s="24" t="s">
        <v>633</v>
      </c>
      <c r="AS27" s="24"/>
      <c r="AT27" s="24"/>
      <c r="AU27" s="24"/>
      <c r="AV27" s="24"/>
      <c r="AW27" s="24" t="s">
        <v>634</v>
      </c>
      <c r="AX27" s="24" t="s">
        <v>635</v>
      </c>
      <c r="AY27" s="24" t="s">
        <v>115</v>
      </c>
    </row>
    <row r="28" spans="1:51" x14ac:dyDescent="0.2">
      <c r="A28" s="27" t="s">
        <v>636</v>
      </c>
      <c r="B28" s="27" t="s">
        <v>637</v>
      </c>
      <c r="C28" s="27"/>
      <c r="D28" s="27" t="s">
        <v>87</v>
      </c>
      <c r="E28" s="28">
        <v>193666534</v>
      </c>
      <c r="F28" s="28">
        <v>83000000</v>
      </c>
      <c r="G28" s="29">
        <v>103</v>
      </c>
      <c r="H28" s="29">
        <v>585</v>
      </c>
      <c r="I28" s="27" t="s">
        <v>143</v>
      </c>
      <c r="J28" s="27" t="s">
        <v>89</v>
      </c>
      <c r="K28" s="27" t="s">
        <v>407</v>
      </c>
      <c r="L28" s="27" t="s">
        <v>408</v>
      </c>
      <c r="M28" s="27" t="s">
        <v>638</v>
      </c>
      <c r="N28" s="29">
        <v>6</v>
      </c>
      <c r="O28" s="27" t="s">
        <v>639</v>
      </c>
      <c r="P28" s="27"/>
      <c r="Q28" s="27" t="s">
        <v>640</v>
      </c>
      <c r="R28" s="27"/>
      <c r="S28" s="27" t="s">
        <v>641</v>
      </c>
      <c r="T28" s="27" t="s">
        <v>28</v>
      </c>
      <c r="U28" s="27" t="s">
        <v>642</v>
      </c>
      <c r="V28" s="27" t="s">
        <v>394</v>
      </c>
      <c r="W28" s="27" t="s">
        <v>643</v>
      </c>
      <c r="X28" s="27" t="s">
        <v>100</v>
      </c>
      <c r="Y28" s="27" t="s">
        <v>644</v>
      </c>
      <c r="Z28" s="27" t="s">
        <v>645</v>
      </c>
      <c r="AA28" s="27" t="s">
        <v>100</v>
      </c>
      <c r="AB28" s="27" t="s">
        <v>644</v>
      </c>
      <c r="AC28" s="27" t="s">
        <v>646</v>
      </c>
      <c r="AD28" s="27" t="s">
        <v>104</v>
      </c>
      <c r="AE28" s="27"/>
      <c r="AF28" s="27"/>
      <c r="AG28" s="27"/>
      <c r="AH28" s="27" t="s">
        <v>647</v>
      </c>
      <c r="AI28" s="27"/>
      <c r="AJ28" s="27"/>
      <c r="AK28" s="27" t="s">
        <v>648</v>
      </c>
      <c r="AL28" s="27" t="s">
        <v>163</v>
      </c>
      <c r="AM28" s="27" t="s">
        <v>644</v>
      </c>
      <c r="AN28" s="27" t="s">
        <v>649</v>
      </c>
      <c r="AO28" s="27" t="s">
        <v>650</v>
      </c>
      <c r="AP28" s="27" t="s">
        <v>133</v>
      </c>
      <c r="AQ28" s="27" t="s">
        <v>644</v>
      </c>
      <c r="AR28" s="27" t="s">
        <v>651</v>
      </c>
      <c r="AS28" s="27" t="s">
        <v>652</v>
      </c>
      <c r="AT28" s="27" t="s">
        <v>136</v>
      </c>
      <c r="AU28" s="27"/>
      <c r="AV28" s="27"/>
      <c r="AW28" s="27" t="s">
        <v>653</v>
      </c>
      <c r="AX28" s="27" t="s">
        <v>654</v>
      </c>
      <c r="AY28" s="27" t="s">
        <v>115</v>
      </c>
    </row>
    <row r="29" spans="1:51" x14ac:dyDescent="0.2">
      <c r="A29" s="24" t="s">
        <v>655</v>
      </c>
      <c r="B29" s="24" t="s">
        <v>656</v>
      </c>
      <c r="C29" s="24" t="s">
        <v>657</v>
      </c>
      <c r="D29" s="24" t="s">
        <v>87</v>
      </c>
      <c r="E29" s="25">
        <v>190665833</v>
      </c>
      <c r="F29" s="25">
        <v>1000</v>
      </c>
      <c r="G29" s="26"/>
      <c r="H29" s="26">
        <v>584</v>
      </c>
      <c r="I29" s="24" t="s">
        <v>143</v>
      </c>
      <c r="J29" s="24" t="s">
        <v>89</v>
      </c>
      <c r="K29" s="24" t="s">
        <v>90</v>
      </c>
      <c r="L29" s="24" t="s">
        <v>91</v>
      </c>
      <c r="M29" s="24" t="s">
        <v>658</v>
      </c>
      <c r="N29" s="26">
        <v>1</v>
      </c>
      <c r="O29" s="24" t="s">
        <v>381</v>
      </c>
      <c r="P29" s="24" t="s">
        <v>659</v>
      </c>
      <c r="Q29" s="24" t="s">
        <v>660</v>
      </c>
      <c r="R29" s="24" t="s">
        <v>661</v>
      </c>
      <c r="S29" s="24" t="s">
        <v>385</v>
      </c>
      <c r="T29" s="24" t="s">
        <v>21</v>
      </c>
      <c r="U29" s="24" t="s">
        <v>662</v>
      </c>
      <c r="V29" s="24" t="s">
        <v>126</v>
      </c>
      <c r="W29" s="24" t="s">
        <v>663</v>
      </c>
      <c r="X29" s="24" t="s">
        <v>100</v>
      </c>
      <c r="Y29" s="24" t="s">
        <v>126</v>
      </c>
      <c r="Z29" s="24" t="s">
        <v>664</v>
      </c>
      <c r="AA29" s="24" t="s">
        <v>100</v>
      </c>
      <c r="AB29" s="24" t="s">
        <v>126</v>
      </c>
      <c r="AC29" s="24" t="s">
        <v>665</v>
      </c>
      <c r="AD29" s="24" t="s">
        <v>100</v>
      </c>
      <c r="AE29" s="24" t="s">
        <v>126</v>
      </c>
      <c r="AF29" s="24" t="s">
        <v>666</v>
      </c>
      <c r="AG29" s="24" t="s">
        <v>104</v>
      </c>
      <c r="AH29" s="24" t="s">
        <v>667</v>
      </c>
      <c r="AI29" s="24" t="s">
        <v>668</v>
      </c>
      <c r="AJ29" s="24"/>
      <c r="AK29" s="24" t="s">
        <v>669</v>
      </c>
      <c r="AL29" s="24" t="s">
        <v>185</v>
      </c>
      <c r="AM29" s="24" t="s">
        <v>126</v>
      </c>
      <c r="AN29" s="24" t="s">
        <v>670</v>
      </c>
      <c r="AO29" s="24" t="s">
        <v>671</v>
      </c>
      <c r="AP29" s="24" t="s">
        <v>109</v>
      </c>
      <c r="AQ29" s="24" t="s">
        <v>126</v>
      </c>
      <c r="AR29" s="24" t="s">
        <v>672</v>
      </c>
      <c r="AS29" s="24"/>
      <c r="AT29" s="24"/>
      <c r="AU29" s="24"/>
      <c r="AV29" s="24"/>
      <c r="AW29" s="24" t="s">
        <v>673</v>
      </c>
      <c r="AX29" s="24" t="s">
        <v>674</v>
      </c>
      <c r="AY29" s="24" t="s">
        <v>290</v>
      </c>
    </row>
    <row r="30" spans="1:51" x14ac:dyDescent="0.2">
      <c r="A30" s="27" t="s">
        <v>675</v>
      </c>
      <c r="B30" s="27" t="s">
        <v>676</v>
      </c>
      <c r="C30" s="27"/>
      <c r="D30" s="27" t="s">
        <v>87</v>
      </c>
      <c r="E30" s="28">
        <v>184223750</v>
      </c>
      <c r="F30" s="28">
        <v>60000000</v>
      </c>
      <c r="G30" s="29">
        <v>452</v>
      </c>
      <c r="H30" s="29">
        <v>449</v>
      </c>
      <c r="I30" s="27" t="s">
        <v>219</v>
      </c>
      <c r="J30" s="27" t="s">
        <v>89</v>
      </c>
      <c r="K30" s="27" t="s">
        <v>90</v>
      </c>
      <c r="L30" s="27" t="s">
        <v>91</v>
      </c>
      <c r="M30" s="27" t="s">
        <v>677</v>
      </c>
      <c r="N30" s="29">
        <v>13</v>
      </c>
      <c r="O30" s="27" t="s">
        <v>678</v>
      </c>
      <c r="P30" s="27"/>
      <c r="Q30" s="27" t="s">
        <v>679</v>
      </c>
      <c r="R30" s="27" t="s">
        <v>680</v>
      </c>
      <c r="S30" s="27" t="s">
        <v>681</v>
      </c>
      <c r="T30" s="27" t="s">
        <v>26</v>
      </c>
      <c r="U30" s="27" t="s">
        <v>682</v>
      </c>
      <c r="V30" s="27" t="s">
        <v>98</v>
      </c>
      <c r="W30" s="27" t="s">
        <v>683</v>
      </c>
      <c r="X30" s="27" t="s">
        <v>100</v>
      </c>
      <c r="Y30" s="27" t="s">
        <v>280</v>
      </c>
      <c r="Z30" s="27" t="s">
        <v>684</v>
      </c>
      <c r="AA30" s="27" t="s">
        <v>104</v>
      </c>
      <c r="AB30" s="27"/>
      <c r="AC30" s="27"/>
      <c r="AD30" s="27"/>
      <c r="AE30" s="27"/>
      <c r="AF30" s="27"/>
      <c r="AG30" s="27"/>
      <c r="AH30" s="27" t="s">
        <v>685</v>
      </c>
      <c r="AI30" s="27" t="s">
        <v>686</v>
      </c>
      <c r="AJ30" s="27" t="s">
        <v>687</v>
      </c>
      <c r="AK30" s="27" t="s">
        <v>688</v>
      </c>
      <c r="AL30" s="27" t="s">
        <v>133</v>
      </c>
      <c r="AM30" s="27" t="s">
        <v>280</v>
      </c>
      <c r="AN30" s="27" t="s">
        <v>689</v>
      </c>
      <c r="AO30" s="27" t="s">
        <v>690</v>
      </c>
      <c r="AP30" s="27" t="s">
        <v>133</v>
      </c>
      <c r="AQ30" s="27" t="s">
        <v>252</v>
      </c>
      <c r="AR30" s="27" t="s">
        <v>691</v>
      </c>
      <c r="AS30" s="27" t="s">
        <v>692</v>
      </c>
      <c r="AT30" s="27" t="s">
        <v>133</v>
      </c>
      <c r="AU30" s="27" t="s">
        <v>229</v>
      </c>
      <c r="AV30" s="27" t="s">
        <v>693</v>
      </c>
      <c r="AW30" s="27" t="s">
        <v>694</v>
      </c>
      <c r="AX30" s="27" t="s">
        <v>695</v>
      </c>
      <c r="AY30" s="27" t="s">
        <v>115</v>
      </c>
    </row>
    <row r="31" spans="1:51" x14ac:dyDescent="0.2">
      <c r="A31" s="24" t="s">
        <v>696</v>
      </c>
      <c r="B31" s="24" t="s">
        <v>697</v>
      </c>
      <c r="C31" s="24" t="s">
        <v>698</v>
      </c>
      <c r="D31" s="24" t="s">
        <v>431</v>
      </c>
      <c r="E31" s="25">
        <v>175923925</v>
      </c>
      <c r="F31" s="25">
        <v>4494000</v>
      </c>
      <c r="G31" s="26">
        <v>482</v>
      </c>
      <c r="H31" s="26">
        <v>532</v>
      </c>
      <c r="I31" s="24" t="s">
        <v>143</v>
      </c>
      <c r="J31" s="24" t="s">
        <v>89</v>
      </c>
      <c r="K31" s="24" t="s">
        <v>144</v>
      </c>
      <c r="L31" s="24" t="s">
        <v>145</v>
      </c>
      <c r="M31" s="24" t="s">
        <v>699</v>
      </c>
      <c r="N31" s="26">
        <v>0</v>
      </c>
      <c r="O31" s="24" t="s">
        <v>700</v>
      </c>
      <c r="P31" s="24" t="s">
        <v>701</v>
      </c>
      <c r="Q31" s="24"/>
      <c r="R31" s="24" t="s">
        <v>149</v>
      </c>
      <c r="S31" s="24" t="s">
        <v>702</v>
      </c>
      <c r="T31" s="24" t="s">
        <v>16</v>
      </c>
      <c r="U31" s="24" t="s">
        <v>703</v>
      </c>
      <c r="V31" s="24" t="s">
        <v>400</v>
      </c>
      <c r="W31" s="24" t="s">
        <v>704</v>
      </c>
      <c r="X31" s="24" t="s">
        <v>100</v>
      </c>
      <c r="Y31" s="24" t="s">
        <v>400</v>
      </c>
      <c r="Z31" s="24" t="s">
        <v>705</v>
      </c>
      <c r="AA31" s="24" t="s">
        <v>100</v>
      </c>
      <c r="AB31" s="24" t="s">
        <v>400</v>
      </c>
      <c r="AC31" s="24" t="s">
        <v>706</v>
      </c>
      <c r="AD31" s="24" t="s">
        <v>100</v>
      </c>
      <c r="AE31" s="24" t="s">
        <v>400</v>
      </c>
      <c r="AF31" s="24" t="s">
        <v>707</v>
      </c>
      <c r="AG31" s="24" t="s">
        <v>104</v>
      </c>
      <c r="AH31" s="24" t="s">
        <v>708</v>
      </c>
      <c r="AI31" s="24" t="s">
        <v>709</v>
      </c>
      <c r="AJ31" s="24" t="s">
        <v>710</v>
      </c>
      <c r="AK31" s="24" t="s">
        <v>711</v>
      </c>
      <c r="AL31" s="24" t="s">
        <v>163</v>
      </c>
      <c r="AM31" s="24" t="s">
        <v>400</v>
      </c>
      <c r="AN31" s="24" t="s">
        <v>712</v>
      </c>
      <c r="AO31" s="24" t="s">
        <v>713</v>
      </c>
      <c r="AP31" s="24" t="s">
        <v>133</v>
      </c>
      <c r="AQ31" s="24" t="s">
        <v>400</v>
      </c>
      <c r="AR31" s="24" t="s">
        <v>714</v>
      </c>
      <c r="AS31" s="24" t="s">
        <v>715</v>
      </c>
      <c r="AT31" s="24" t="s">
        <v>163</v>
      </c>
      <c r="AU31" s="24" t="s">
        <v>400</v>
      </c>
      <c r="AV31" s="24" t="s">
        <v>716</v>
      </c>
      <c r="AW31" s="24" t="s">
        <v>717</v>
      </c>
      <c r="AX31" s="24" t="s">
        <v>718</v>
      </c>
      <c r="AY31" s="24" t="s">
        <v>115</v>
      </c>
    </row>
    <row r="32" spans="1:51" x14ac:dyDescent="0.2">
      <c r="A32" s="27" t="s">
        <v>719</v>
      </c>
      <c r="B32" s="27" t="s">
        <v>720</v>
      </c>
      <c r="C32" s="27"/>
      <c r="D32" s="27" t="s">
        <v>431</v>
      </c>
      <c r="E32" s="28">
        <v>172951394</v>
      </c>
      <c r="F32" s="28">
        <v>3100000</v>
      </c>
      <c r="G32" s="29">
        <v>411</v>
      </c>
      <c r="H32" s="29">
        <v>902</v>
      </c>
      <c r="I32" s="27" t="s">
        <v>88</v>
      </c>
      <c r="J32" s="27" t="s">
        <v>89</v>
      </c>
      <c r="K32" s="27" t="s">
        <v>168</v>
      </c>
      <c r="L32" s="27" t="s">
        <v>169</v>
      </c>
      <c r="M32" s="27" t="s">
        <v>721</v>
      </c>
      <c r="N32" s="29">
        <v>0</v>
      </c>
      <c r="O32" s="27" t="s">
        <v>722</v>
      </c>
      <c r="P32" s="27" t="s">
        <v>723</v>
      </c>
      <c r="Q32" s="27"/>
      <c r="R32" s="27" t="s">
        <v>724</v>
      </c>
      <c r="S32" s="27" t="s">
        <v>319</v>
      </c>
      <c r="T32" s="27" t="s">
        <v>31</v>
      </c>
      <c r="U32" s="27" t="s">
        <v>725</v>
      </c>
      <c r="V32" s="27" t="s">
        <v>98</v>
      </c>
      <c r="W32" s="27" t="s">
        <v>726</v>
      </c>
      <c r="X32" s="27" t="s">
        <v>100</v>
      </c>
      <c r="Y32" s="27" t="s">
        <v>98</v>
      </c>
      <c r="Z32" s="27" t="s">
        <v>727</v>
      </c>
      <c r="AA32" s="27" t="s">
        <v>100</v>
      </c>
      <c r="AB32" s="27" t="s">
        <v>98</v>
      </c>
      <c r="AC32" s="27" t="s">
        <v>728</v>
      </c>
      <c r="AD32" s="27" t="s">
        <v>100</v>
      </c>
      <c r="AE32" s="27" t="s">
        <v>98</v>
      </c>
      <c r="AF32" s="27" t="s">
        <v>729</v>
      </c>
      <c r="AG32" s="27" t="s">
        <v>104</v>
      </c>
      <c r="AH32" s="27" t="s">
        <v>730</v>
      </c>
      <c r="AI32" s="27" t="s">
        <v>731</v>
      </c>
      <c r="AJ32" s="27" t="s">
        <v>732</v>
      </c>
      <c r="AK32" s="27" t="s">
        <v>733</v>
      </c>
      <c r="AL32" s="27" t="s">
        <v>133</v>
      </c>
      <c r="AM32" s="27" t="s">
        <v>98</v>
      </c>
      <c r="AN32" s="27" t="s">
        <v>734</v>
      </c>
      <c r="AO32" s="27" t="s">
        <v>735</v>
      </c>
      <c r="AP32" s="27" t="s">
        <v>133</v>
      </c>
      <c r="AQ32" s="27" t="s">
        <v>98</v>
      </c>
      <c r="AR32" s="27" t="s">
        <v>736</v>
      </c>
      <c r="AS32" s="27" t="s">
        <v>737</v>
      </c>
      <c r="AT32" s="27" t="s">
        <v>133</v>
      </c>
      <c r="AU32" s="27" t="s">
        <v>98</v>
      </c>
      <c r="AV32" s="27" t="s">
        <v>738</v>
      </c>
      <c r="AW32" s="27"/>
      <c r="AX32" s="27" t="s">
        <v>739</v>
      </c>
      <c r="AY32" s="27" t="s">
        <v>115</v>
      </c>
    </row>
    <row r="33" spans="1:51" x14ac:dyDescent="0.2">
      <c r="A33" s="24" t="s">
        <v>740</v>
      </c>
      <c r="B33" s="24" t="s">
        <v>741</v>
      </c>
      <c r="C33" s="24" t="s">
        <v>742</v>
      </c>
      <c r="D33" s="24" t="s">
        <v>87</v>
      </c>
      <c r="E33" s="25">
        <v>162598033</v>
      </c>
      <c r="F33" s="25">
        <v>45351208</v>
      </c>
      <c r="G33" s="26">
        <v>181</v>
      </c>
      <c r="H33" s="26">
        <v>576</v>
      </c>
      <c r="I33" s="24" t="s">
        <v>143</v>
      </c>
      <c r="J33" s="24" t="s">
        <v>89</v>
      </c>
      <c r="K33" s="24" t="s">
        <v>90</v>
      </c>
      <c r="L33" s="24" t="s">
        <v>91</v>
      </c>
      <c r="M33" s="24" t="s">
        <v>743</v>
      </c>
      <c r="N33" s="26">
        <v>8</v>
      </c>
      <c r="O33" s="24" t="s">
        <v>744</v>
      </c>
      <c r="P33" s="24" t="s">
        <v>745</v>
      </c>
      <c r="Q33" s="24" t="s">
        <v>746</v>
      </c>
      <c r="R33" s="24" t="s">
        <v>747</v>
      </c>
      <c r="S33" s="24" t="s">
        <v>595</v>
      </c>
      <c r="T33" s="24" t="s">
        <v>31</v>
      </c>
      <c r="U33" s="24" t="s">
        <v>748</v>
      </c>
      <c r="V33" s="24" t="s">
        <v>749</v>
      </c>
      <c r="W33" s="24" t="s">
        <v>750</v>
      </c>
      <c r="X33" s="24" t="s">
        <v>104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 t="s">
        <v>751</v>
      </c>
      <c r="AI33" s="24" t="s">
        <v>752</v>
      </c>
      <c r="AJ33" s="24" t="s">
        <v>753</v>
      </c>
      <c r="AK33" s="24" t="s">
        <v>754</v>
      </c>
      <c r="AL33" s="24" t="s">
        <v>163</v>
      </c>
      <c r="AM33" s="24" t="s">
        <v>749</v>
      </c>
      <c r="AN33" s="24" t="s">
        <v>755</v>
      </c>
      <c r="AO33" s="24" t="s">
        <v>756</v>
      </c>
      <c r="AP33" s="24" t="s">
        <v>136</v>
      </c>
      <c r="AQ33" s="24" t="s">
        <v>749</v>
      </c>
      <c r="AR33" s="24" t="s">
        <v>757</v>
      </c>
      <c r="AS33" s="24" t="s">
        <v>758</v>
      </c>
      <c r="AT33" s="24" t="s">
        <v>136</v>
      </c>
      <c r="AU33" s="24" t="s">
        <v>749</v>
      </c>
      <c r="AV33" s="24" t="s">
        <v>759</v>
      </c>
      <c r="AW33" s="24" t="s">
        <v>760</v>
      </c>
      <c r="AX33" s="24" t="s">
        <v>761</v>
      </c>
      <c r="AY33" s="24" t="s">
        <v>115</v>
      </c>
    </row>
    <row r="34" spans="1:51" x14ac:dyDescent="0.2">
      <c r="A34" s="27" t="s">
        <v>762</v>
      </c>
      <c r="B34" s="27" t="s">
        <v>763</v>
      </c>
      <c r="C34" s="27" t="s">
        <v>764</v>
      </c>
      <c r="D34" s="27" t="s">
        <v>431</v>
      </c>
      <c r="E34" s="28">
        <v>161477780</v>
      </c>
      <c r="F34" s="28">
        <v>37400000</v>
      </c>
      <c r="G34" s="29">
        <v>5</v>
      </c>
      <c r="H34" s="29">
        <v>588</v>
      </c>
      <c r="I34" s="27" t="s">
        <v>143</v>
      </c>
      <c r="J34" s="27" t="s">
        <v>89</v>
      </c>
      <c r="K34" s="27" t="s">
        <v>192</v>
      </c>
      <c r="L34" s="27" t="s">
        <v>193</v>
      </c>
      <c r="M34" s="27" t="s">
        <v>765</v>
      </c>
      <c r="N34" s="29">
        <v>0</v>
      </c>
      <c r="O34" s="27" t="s">
        <v>766</v>
      </c>
      <c r="P34" s="27" t="s">
        <v>767</v>
      </c>
      <c r="Q34" s="27" t="s">
        <v>768</v>
      </c>
      <c r="R34" s="27" t="s">
        <v>661</v>
      </c>
      <c r="S34" s="27" t="s">
        <v>385</v>
      </c>
      <c r="T34" s="27" t="s">
        <v>21</v>
      </c>
      <c r="U34" s="27" t="s">
        <v>769</v>
      </c>
      <c r="V34" s="27" t="s">
        <v>126</v>
      </c>
      <c r="W34" s="27" t="s">
        <v>770</v>
      </c>
      <c r="X34" s="27" t="s">
        <v>100</v>
      </c>
      <c r="Y34" s="27" t="s">
        <v>126</v>
      </c>
      <c r="Z34" s="27" t="s">
        <v>771</v>
      </c>
      <c r="AA34" s="27" t="s">
        <v>100</v>
      </c>
      <c r="AB34" s="27" t="s">
        <v>126</v>
      </c>
      <c r="AC34" s="27" t="s">
        <v>772</v>
      </c>
      <c r="AD34" s="27" t="s">
        <v>100</v>
      </c>
      <c r="AE34" s="27" t="s">
        <v>321</v>
      </c>
      <c r="AF34" s="27" t="s">
        <v>773</v>
      </c>
      <c r="AG34" s="27" t="s">
        <v>104</v>
      </c>
      <c r="AH34" s="27" t="s">
        <v>774</v>
      </c>
      <c r="AI34" s="27" t="s">
        <v>775</v>
      </c>
      <c r="AJ34" s="27" t="s">
        <v>776</v>
      </c>
      <c r="AK34" s="27" t="s">
        <v>777</v>
      </c>
      <c r="AL34" s="27" t="s">
        <v>163</v>
      </c>
      <c r="AM34" s="27"/>
      <c r="AN34" s="27"/>
      <c r="AO34" s="27" t="s">
        <v>778</v>
      </c>
      <c r="AP34" s="27" t="s">
        <v>163</v>
      </c>
      <c r="AQ34" s="27" t="s">
        <v>489</v>
      </c>
      <c r="AR34" s="27" t="s">
        <v>779</v>
      </c>
      <c r="AS34" s="27" t="s">
        <v>780</v>
      </c>
      <c r="AT34" s="27" t="s">
        <v>136</v>
      </c>
      <c r="AU34" s="27" t="s">
        <v>321</v>
      </c>
      <c r="AV34" s="27" t="s">
        <v>781</v>
      </c>
      <c r="AW34" s="27" t="s">
        <v>782</v>
      </c>
      <c r="AX34" s="27" t="s">
        <v>783</v>
      </c>
      <c r="AY34" s="27" t="s">
        <v>115</v>
      </c>
    </row>
    <row r="35" spans="1:51" x14ac:dyDescent="0.2">
      <c r="A35" s="24" t="s">
        <v>784</v>
      </c>
      <c r="B35" s="24" t="s">
        <v>785</v>
      </c>
      <c r="C35" s="24"/>
      <c r="D35" s="24" t="s">
        <v>431</v>
      </c>
      <c r="E35" s="25">
        <v>157755862</v>
      </c>
      <c r="F35" s="25">
        <v>4400000</v>
      </c>
      <c r="G35" s="26">
        <v>108</v>
      </c>
      <c r="H35" s="26">
        <v>577</v>
      </c>
      <c r="I35" s="24" t="s">
        <v>143</v>
      </c>
      <c r="J35" s="24" t="s">
        <v>89</v>
      </c>
      <c r="K35" s="24" t="s">
        <v>407</v>
      </c>
      <c r="L35" s="24" t="s">
        <v>408</v>
      </c>
      <c r="M35" s="24" t="s">
        <v>786</v>
      </c>
      <c r="N35" s="26">
        <v>0</v>
      </c>
      <c r="O35" s="24" t="s">
        <v>787</v>
      </c>
      <c r="P35" s="24" t="s">
        <v>450</v>
      </c>
      <c r="Q35" s="24" t="s">
        <v>788</v>
      </c>
      <c r="R35" s="24" t="s">
        <v>789</v>
      </c>
      <c r="S35" s="24" t="s">
        <v>790</v>
      </c>
      <c r="T35" s="24" t="s">
        <v>31</v>
      </c>
      <c r="U35" s="24" t="s">
        <v>791</v>
      </c>
      <c r="V35" s="24" t="s">
        <v>792</v>
      </c>
      <c r="W35" s="24" t="s">
        <v>793</v>
      </c>
      <c r="X35" s="24" t="s">
        <v>100</v>
      </c>
      <c r="Y35" s="24" t="s">
        <v>792</v>
      </c>
      <c r="Z35" s="24" t="s">
        <v>794</v>
      </c>
      <c r="AA35" s="24" t="s">
        <v>100</v>
      </c>
      <c r="AB35" s="24" t="s">
        <v>792</v>
      </c>
      <c r="AC35" s="24" t="s">
        <v>795</v>
      </c>
      <c r="AD35" s="24" t="s">
        <v>100</v>
      </c>
      <c r="AE35" s="24" t="s">
        <v>792</v>
      </c>
      <c r="AF35" s="24" t="s">
        <v>796</v>
      </c>
      <c r="AG35" s="24" t="s">
        <v>104</v>
      </c>
      <c r="AH35" s="24" t="s">
        <v>797</v>
      </c>
      <c r="AI35" s="24"/>
      <c r="AJ35" s="24"/>
      <c r="AK35" s="24" t="s">
        <v>798</v>
      </c>
      <c r="AL35" s="24" t="s">
        <v>133</v>
      </c>
      <c r="AM35" s="24" t="s">
        <v>792</v>
      </c>
      <c r="AN35" s="24" t="s">
        <v>799</v>
      </c>
      <c r="AO35" s="24" t="s">
        <v>800</v>
      </c>
      <c r="AP35" s="24" t="s">
        <v>133</v>
      </c>
      <c r="AQ35" s="24" t="s">
        <v>792</v>
      </c>
      <c r="AR35" s="24" t="s">
        <v>801</v>
      </c>
      <c r="AS35" s="24"/>
      <c r="AT35" s="24"/>
      <c r="AU35" s="24"/>
      <c r="AV35" s="24"/>
      <c r="AW35" s="24" t="s">
        <v>802</v>
      </c>
      <c r="AX35" s="24" t="s">
        <v>803</v>
      </c>
      <c r="AY35" s="24" t="s">
        <v>290</v>
      </c>
    </row>
    <row r="36" spans="1:51" x14ac:dyDescent="0.2">
      <c r="A36" s="27" t="s">
        <v>804</v>
      </c>
      <c r="B36" s="27" t="s">
        <v>805</v>
      </c>
      <c r="C36" s="27" t="s">
        <v>806</v>
      </c>
      <c r="D36" s="27" t="s">
        <v>431</v>
      </c>
      <c r="E36" s="28">
        <v>152021534</v>
      </c>
      <c r="F36" s="28">
        <v>3020000</v>
      </c>
      <c r="G36" s="29">
        <v>269</v>
      </c>
      <c r="H36" s="29">
        <v>875</v>
      </c>
      <c r="I36" s="27" t="s">
        <v>88</v>
      </c>
      <c r="J36" s="27" t="s">
        <v>89</v>
      </c>
      <c r="K36" s="27" t="s">
        <v>407</v>
      </c>
      <c r="L36" s="27" t="s">
        <v>408</v>
      </c>
      <c r="M36" s="27" t="s">
        <v>807</v>
      </c>
      <c r="N36" s="29">
        <v>1</v>
      </c>
      <c r="O36" s="27" t="s">
        <v>808</v>
      </c>
      <c r="P36" s="27"/>
      <c r="Q36" s="27" t="s">
        <v>809</v>
      </c>
      <c r="R36" s="27" t="s">
        <v>149</v>
      </c>
      <c r="S36" s="27" t="s">
        <v>810</v>
      </c>
      <c r="T36" s="27" t="s">
        <v>31</v>
      </c>
      <c r="U36" s="27" t="s">
        <v>811</v>
      </c>
      <c r="V36" s="27" t="s">
        <v>352</v>
      </c>
      <c r="W36" s="27" t="s">
        <v>812</v>
      </c>
      <c r="X36" s="27" t="s">
        <v>100</v>
      </c>
      <c r="Y36" s="27" t="s">
        <v>352</v>
      </c>
      <c r="Z36" s="27" t="s">
        <v>813</v>
      </c>
      <c r="AA36" s="27" t="s">
        <v>100</v>
      </c>
      <c r="AB36" s="27" t="s">
        <v>352</v>
      </c>
      <c r="AC36" s="27" t="s">
        <v>814</v>
      </c>
      <c r="AD36" s="27" t="s">
        <v>100</v>
      </c>
      <c r="AE36" s="27" t="s">
        <v>352</v>
      </c>
      <c r="AF36" s="27" t="s">
        <v>815</v>
      </c>
      <c r="AG36" s="27" t="s">
        <v>104</v>
      </c>
      <c r="AH36" s="27" t="s">
        <v>816</v>
      </c>
      <c r="AI36" s="27" t="s">
        <v>817</v>
      </c>
      <c r="AJ36" s="27" t="s">
        <v>818</v>
      </c>
      <c r="AK36" s="27" t="s">
        <v>819</v>
      </c>
      <c r="AL36" s="27" t="s">
        <v>133</v>
      </c>
      <c r="AM36" s="27" t="s">
        <v>352</v>
      </c>
      <c r="AN36" s="27" t="s">
        <v>820</v>
      </c>
      <c r="AO36" s="27" t="s">
        <v>821</v>
      </c>
      <c r="AP36" s="27" t="s">
        <v>133</v>
      </c>
      <c r="AQ36" s="27" t="s">
        <v>352</v>
      </c>
      <c r="AR36" s="27" t="s">
        <v>820</v>
      </c>
      <c r="AS36" s="27"/>
      <c r="AT36" s="27"/>
      <c r="AU36" s="27"/>
      <c r="AV36" s="27"/>
      <c r="AW36" s="27" t="s">
        <v>822</v>
      </c>
      <c r="AX36" s="27" t="s">
        <v>823</v>
      </c>
      <c r="AY36" s="27" t="s">
        <v>115</v>
      </c>
    </row>
    <row r="37" spans="1:51" x14ac:dyDescent="0.2">
      <c r="A37" s="24" t="s">
        <v>824</v>
      </c>
      <c r="B37" s="24" t="s">
        <v>825</v>
      </c>
      <c r="C37" s="24"/>
      <c r="D37" s="24" t="s">
        <v>431</v>
      </c>
      <c r="E37" s="25">
        <v>149507150</v>
      </c>
      <c r="F37" s="25">
        <v>918000</v>
      </c>
      <c r="G37" s="26">
        <v>225</v>
      </c>
      <c r="H37" s="26">
        <v>504</v>
      </c>
      <c r="I37" s="24" t="s">
        <v>143</v>
      </c>
      <c r="J37" s="24" t="s">
        <v>89</v>
      </c>
      <c r="K37" s="24" t="s">
        <v>407</v>
      </c>
      <c r="L37" s="24" t="s">
        <v>408</v>
      </c>
      <c r="M37" s="24" t="s">
        <v>826</v>
      </c>
      <c r="N37" s="26">
        <v>2</v>
      </c>
      <c r="O37" s="24" t="s">
        <v>827</v>
      </c>
      <c r="P37" s="24" t="s">
        <v>745</v>
      </c>
      <c r="Q37" s="24"/>
      <c r="R37" s="24" t="s">
        <v>149</v>
      </c>
      <c r="S37" s="24" t="s">
        <v>828</v>
      </c>
      <c r="T37" s="24" t="s">
        <v>27</v>
      </c>
      <c r="U37" s="24" t="s">
        <v>829</v>
      </c>
      <c r="V37" s="24" t="s">
        <v>439</v>
      </c>
      <c r="W37" s="24" t="s">
        <v>830</v>
      </c>
      <c r="X37" s="24" t="s">
        <v>100</v>
      </c>
      <c r="Y37" s="24" t="s">
        <v>439</v>
      </c>
      <c r="Z37" s="24" t="s">
        <v>831</v>
      </c>
      <c r="AA37" s="24" t="s">
        <v>100</v>
      </c>
      <c r="AB37" s="24" t="s">
        <v>439</v>
      </c>
      <c r="AC37" s="24" t="s">
        <v>832</v>
      </c>
      <c r="AD37" s="24" t="s">
        <v>100</v>
      </c>
      <c r="AE37" s="24" t="s">
        <v>439</v>
      </c>
      <c r="AF37" s="24" t="s">
        <v>833</v>
      </c>
      <c r="AG37" s="24" t="s">
        <v>104</v>
      </c>
      <c r="AH37" s="24" t="s">
        <v>834</v>
      </c>
      <c r="AI37" s="24" t="s">
        <v>835</v>
      </c>
      <c r="AJ37" s="24" t="s">
        <v>836</v>
      </c>
      <c r="AK37" s="24" t="s">
        <v>837</v>
      </c>
      <c r="AL37" s="24" t="s">
        <v>133</v>
      </c>
      <c r="AM37" s="24" t="s">
        <v>439</v>
      </c>
      <c r="AN37" s="24" t="s">
        <v>838</v>
      </c>
      <c r="AO37" s="24" t="s">
        <v>839</v>
      </c>
      <c r="AP37" s="24" t="s">
        <v>163</v>
      </c>
      <c r="AQ37" s="24" t="s">
        <v>439</v>
      </c>
      <c r="AR37" s="24" t="s">
        <v>840</v>
      </c>
      <c r="AS37" s="24"/>
      <c r="AT37" s="24"/>
      <c r="AU37" s="24"/>
      <c r="AV37" s="24"/>
      <c r="AW37" s="24" t="s">
        <v>841</v>
      </c>
      <c r="AX37" s="24" t="s">
        <v>842</v>
      </c>
      <c r="AY37" s="24" t="s">
        <v>290</v>
      </c>
    </row>
    <row r="38" spans="1:51" x14ac:dyDescent="0.2">
      <c r="A38" s="27" t="s">
        <v>843</v>
      </c>
      <c r="B38" s="27" t="s">
        <v>844</v>
      </c>
      <c r="C38" s="27"/>
      <c r="D38" s="27" t="s">
        <v>431</v>
      </c>
      <c r="E38" s="28">
        <v>144050393</v>
      </c>
      <c r="F38" s="28">
        <v>75225608</v>
      </c>
      <c r="G38" s="29">
        <v>26</v>
      </c>
      <c r="H38" s="29">
        <v>775</v>
      </c>
      <c r="I38" s="27" t="s">
        <v>88</v>
      </c>
      <c r="J38" s="27" t="s">
        <v>89</v>
      </c>
      <c r="K38" s="27" t="s">
        <v>336</v>
      </c>
      <c r="L38" s="27" t="s">
        <v>337</v>
      </c>
      <c r="M38" s="27" t="s">
        <v>845</v>
      </c>
      <c r="N38" s="29">
        <v>1</v>
      </c>
      <c r="O38" s="27" t="s">
        <v>846</v>
      </c>
      <c r="P38" s="27" t="s">
        <v>847</v>
      </c>
      <c r="Q38" s="27" t="s">
        <v>848</v>
      </c>
      <c r="R38" s="27" t="s">
        <v>849</v>
      </c>
      <c r="S38" s="27" t="s">
        <v>850</v>
      </c>
      <c r="T38" s="27" t="s">
        <v>26</v>
      </c>
      <c r="U38" s="27" t="s">
        <v>851</v>
      </c>
      <c r="V38" s="27" t="s">
        <v>852</v>
      </c>
      <c r="W38" s="27" t="s">
        <v>853</v>
      </c>
      <c r="X38" s="27" t="s">
        <v>100</v>
      </c>
      <c r="Y38" s="27" t="s">
        <v>852</v>
      </c>
      <c r="Z38" s="27" t="s">
        <v>854</v>
      </c>
      <c r="AA38" s="27" t="s">
        <v>100</v>
      </c>
      <c r="AB38" s="27" t="s">
        <v>852</v>
      </c>
      <c r="AC38" s="27" t="s">
        <v>855</v>
      </c>
      <c r="AD38" s="27" t="s">
        <v>100</v>
      </c>
      <c r="AE38" s="27" t="s">
        <v>852</v>
      </c>
      <c r="AF38" s="27" t="s">
        <v>856</v>
      </c>
      <c r="AG38" s="27" t="s">
        <v>104</v>
      </c>
      <c r="AH38" s="27" t="s">
        <v>857</v>
      </c>
      <c r="AI38" s="27"/>
      <c r="AJ38" s="27"/>
      <c r="AK38" s="27" t="s">
        <v>858</v>
      </c>
      <c r="AL38" s="27" t="s">
        <v>136</v>
      </c>
      <c r="AM38" s="27" t="s">
        <v>852</v>
      </c>
      <c r="AN38" s="27" t="s">
        <v>859</v>
      </c>
      <c r="AO38" s="27" t="s">
        <v>860</v>
      </c>
      <c r="AP38" s="27" t="s">
        <v>163</v>
      </c>
      <c r="AQ38" s="27" t="s">
        <v>852</v>
      </c>
      <c r="AR38" s="27" t="s">
        <v>861</v>
      </c>
      <c r="AS38" s="27" t="s">
        <v>862</v>
      </c>
      <c r="AT38" s="27" t="s">
        <v>136</v>
      </c>
      <c r="AU38" s="27" t="s">
        <v>852</v>
      </c>
      <c r="AV38" s="27" t="s">
        <v>863</v>
      </c>
      <c r="AW38" s="27" t="s">
        <v>864</v>
      </c>
      <c r="AX38" s="27"/>
      <c r="AY38" s="27" t="s">
        <v>115</v>
      </c>
    </row>
    <row r="39" spans="1:51" x14ac:dyDescent="0.2">
      <c r="A39" s="24" t="s">
        <v>865</v>
      </c>
      <c r="B39" s="24" t="s">
        <v>866</v>
      </c>
      <c r="C39" s="24" t="s">
        <v>867</v>
      </c>
      <c r="D39" s="24" t="s">
        <v>87</v>
      </c>
      <c r="E39" s="25">
        <v>135876829</v>
      </c>
      <c r="F39" s="25">
        <v>7355820</v>
      </c>
      <c r="G39" s="26"/>
      <c r="H39" s="26">
        <v>703</v>
      </c>
      <c r="I39" s="24" t="s">
        <v>88</v>
      </c>
      <c r="J39" s="24" t="s">
        <v>89</v>
      </c>
      <c r="K39" s="24" t="s">
        <v>90</v>
      </c>
      <c r="L39" s="24" t="s">
        <v>91</v>
      </c>
      <c r="M39" s="24" t="s">
        <v>868</v>
      </c>
      <c r="N39" s="26">
        <v>5</v>
      </c>
      <c r="O39" s="24" t="s">
        <v>869</v>
      </c>
      <c r="P39" s="24" t="s">
        <v>870</v>
      </c>
      <c r="Q39" s="24" t="s">
        <v>871</v>
      </c>
      <c r="R39" s="24" t="s">
        <v>872</v>
      </c>
      <c r="S39" s="24" t="s">
        <v>342</v>
      </c>
      <c r="T39" s="24" t="s">
        <v>31</v>
      </c>
      <c r="U39" s="24" t="s">
        <v>873</v>
      </c>
      <c r="V39" s="24" t="s">
        <v>98</v>
      </c>
      <c r="W39" s="24" t="s">
        <v>874</v>
      </c>
      <c r="X39" s="24" t="s">
        <v>100</v>
      </c>
      <c r="Y39" s="24" t="s">
        <v>98</v>
      </c>
      <c r="Z39" s="24" t="s">
        <v>875</v>
      </c>
      <c r="AA39" s="24" t="s">
        <v>104</v>
      </c>
      <c r="AB39" s="24"/>
      <c r="AC39" s="24"/>
      <c r="AD39" s="24"/>
      <c r="AE39" s="24"/>
      <c r="AF39" s="24"/>
      <c r="AG39" s="24"/>
      <c r="AH39" s="24" t="s">
        <v>876</v>
      </c>
      <c r="AI39" s="24" t="s">
        <v>877</v>
      </c>
      <c r="AJ39" s="24" t="s">
        <v>878</v>
      </c>
      <c r="AK39" s="24" t="s">
        <v>879</v>
      </c>
      <c r="AL39" s="24" t="s">
        <v>133</v>
      </c>
      <c r="AM39" s="24" t="s">
        <v>98</v>
      </c>
      <c r="AN39" s="24" t="s">
        <v>874</v>
      </c>
      <c r="AO39" s="24" t="s">
        <v>880</v>
      </c>
      <c r="AP39" s="24" t="s">
        <v>133</v>
      </c>
      <c r="AQ39" s="24" t="s">
        <v>554</v>
      </c>
      <c r="AR39" s="24" t="s">
        <v>881</v>
      </c>
      <c r="AS39" s="24"/>
      <c r="AT39" s="24"/>
      <c r="AU39" s="24"/>
      <c r="AV39" s="24"/>
      <c r="AW39" s="24" t="s">
        <v>882</v>
      </c>
      <c r="AX39" s="24" t="s">
        <v>883</v>
      </c>
      <c r="AY39" s="24" t="s">
        <v>115</v>
      </c>
    </row>
    <row r="40" spans="1:51" x14ac:dyDescent="0.2">
      <c r="A40" s="27" t="s">
        <v>884</v>
      </c>
      <c r="B40" s="27" t="s">
        <v>885</v>
      </c>
      <c r="C40" s="27"/>
      <c r="D40" s="27" t="s">
        <v>431</v>
      </c>
      <c r="E40" s="28">
        <v>132943988</v>
      </c>
      <c r="F40" s="28">
        <v>1300000</v>
      </c>
      <c r="G40" s="29">
        <v>471</v>
      </c>
      <c r="H40" s="29">
        <v>533</v>
      </c>
      <c r="I40" s="27" t="s">
        <v>143</v>
      </c>
      <c r="J40" s="27" t="s">
        <v>89</v>
      </c>
      <c r="K40" s="27" t="s">
        <v>244</v>
      </c>
      <c r="L40" s="27" t="s">
        <v>245</v>
      </c>
      <c r="M40" s="27" t="s">
        <v>886</v>
      </c>
      <c r="N40" s="29">
        <v>2</v>
      </c>
      <c r="O40" s="27" t="s">
        <v>887</v>
      </c>
      <c r="P40" s="27" t="s">
        <v>888</v>
      </c>
      <c r="Q40" s="27"/>
      <c r="R40" s="27" t="s">
        <v>149</v>
      </c>
      <c r="S40" s="27" t="s">
        <v>889</v>
      </c>
      <c r="T40" s="27" t="s">
        <v>17</v>
      </c>
      <c r="U40" s="27" t="s">
        <v>890</v>
      </c>
      <c r="V40" s="27" t="s">
        <v>450</v>
      </c>
      <c r="W40" s="27" t="s">
        <v>891</v>
      </c>
      <c r="X40" s="27" t="s">
        <v>100</v>
      </c>
      <c r="Y40" s="27" t="s">
        <v>450</v>
      </c>
      <c r="Z40" s="27" t="s">
        <v>892</v>
      </c>
      <c r="AA40" s="27" t="s">
        <v>100</v>
      </c>
      <c r="AB40" s="27" t="s">
        <v>450</v>
      </c>
      <c r="AC40" s="27" t="s">
        <v>893</v>
      </c>
      <c r="AD40" s="27" t="s">
        <v>100</v>
      </c>
      <c r="AE40" s="27" t="s">
        <v>450</v>
      </c>
      <c r="AF40" s="27" t="s">
        <v>894</v>
      </c>
      <c r="AG40" s="27" t="s">
        <v>104</v>
      </c>
      <c r="AH40" s="27" t="s">
        <v>895</v>
      </c>
      <c r="AI40" s="27"/>
      <c r="AJ40" s="27"/>
      <c r="AK40" s="27" t="s">
        <v>896</v>
      </c>
      <c r="AL40" s="27" t="s">
        <v>136</v>
      </c>
      <c r="AM40" s="27" t="s">
        <v>450</v>
      </c>
      <c r="AN40" s="27" t="s">
        <v>897</v>
      </c>
      <c r="AO40" s="27" t="s">
        <v>898</v>
      </c>
      <c r="AP40" s="27" t="s">
        <v>163</v>
      </c>
      <c r="AQ40" s="27" t="s">
        <v>450</v>
      </c>
      <c r="AR40" s="27" t="s">
        <v>899</v>
      </c>
      <c r="AS40" s="27" t="s">
        <v>900</v>
      </c>
      <c r="AT40" s="27" t="s">
        <v>163</v>
      </c>
      <c r="AU40" s="27" t="s">
        <v>98</v>
      </c>
      <c r="AV40" s="27" t="s">
        <v>901</v>
      </c>
      <c r="AW40" s="27" t="s">
        <v>902</v>
      </c>
      <c r="AX40" s="27" t="s">
        <v>903</v>
      </c>
      <c r="AY40" s="27" t="s">
        <v>115</v>
      </c>
    </row>
    <row r="41" spans="1:51" x14ac:dyDescent="0.2">
      <c r="A41" s="24" t="s">
        <v>904</v>
      </c>
      <c r="B41" s="24" t="s">
        <v>905</v>
      </c>
      <c r="C41" s="24" t="s">
        <v>906</v>
      </c>
      <c r="D41" s="24" t="s">
        <v>87</v>
      </c>
      <c r="E41" s="25">
        <v>128261120</v>
      </c>
      <c r="F41" s="25">
        <v>66664900</v>
      </c>
      <c r="G41" s="26">
        <v>127</v>
      </c>
      <c r="H41" s="26">
        <v>489</v>
      </c>
      <c r="I41" s="24" t="s">
        <v>219</v>
      </c>
      <c r="J41" s="24" t="s">
        <v>89</v>
      </c>
      <c r="K41" s="24" t="s">
        <v>336</v>
      </c>
      <c r="L41" s="24" t="s">
        <v>337</v>
      </c>
      <c r="M41" s="24" t="s">
        <v>907</v>
      </c>
      <c r="N41" s="26">
        <v>17</v>
      </c>
      <c r="O41" s="24" t="s">
        <v>908</v>
      </c>
      <c r="P41" s="24"/>
      <c r="Q41" s="24" t="s">
        <v>909</v>
      </c>
      <c r="R41" s="24" t="s">
        <v>910</v>
      </c>
      <c r="S41" s="24" t="s">
        <v>342</v>
      </c>
      <c r="T41" s="24" t="s">
        <v>31</v>
      </c>
      <c r="U41" s="24" t="s">
        <v>911</v>
      </c>
      <c r="V41" s="24" t="s">
        <v>98</v>
      </c>
      <c r="W41" s="24" t="s">
        <v>912</v>
      </c>
      <c r="X41" s="24" t="s">
        <v>100</v>
      </c>
      <c r="Y41" s="24" t="s">
        <v>98</v>
      </c>
      <c r="Z41" s="24" t="s">
        <v>913</v>
      </c>
      <c r="AA41" s="24" t="s">
        <v>100</v>
      </c>
      <c r="AB41" s="24" t="s">
        <v>98</v>
      </c>
      <c r="AC41" s="24" t="s">
        <v>914</v>
      </c>
      <c r="AD41" s="24" t="s">
        <v>100</v>
      </c>
      <c r="AE41" s="24" t="s">
        <v>98</v>
      </c>
      <c r="AF41" s="24" t="s">
        <v>915</v>
      </c>
      <c r="AG41" s="24" t="s">
        <v>104</v>
      </c>
      <c r="AH41" s="24" t="s">
        <v>916</v>
      </c>
      <c r="AI41" s="24" t="s">
        <v>917</v>
      </c>
      <c r="AJ41" s="24" t="s">
        <v>918</v>
      </c>
      <c r="AK41" s="24" t="s">
        <v>919</v>
      </c>
      <c r="AL41" s="24" t="s">
        <v>237</v>
      </c>
      <c r="AM41" s="24"/>
      <c r="AN41" s="24"/>
      <c r="AO41" s="24" t="s">
        <v>920</v>
      </c>
      <c r="AP41" s="24" t="s">
        <v>136</v>
      </c>
      <c r="AQ41" s="24" t="s">
        <v>98</v>
      </c>
      <c r="AR41" s="24" t="s">
        <v>921</v>
      </c>
      <c r="AS41" s="24"/>
      <c r="AT41" s="24"/>
      <c r="AU41" s="24"/>
      <c r="AV41" s="24"/>
      <c r="AW41" s="24" t="s">
        <v>922</v>
      </c>
      <c r="AX41" s="24" t="s">
        <v>923</v>
      </c>
      <c r="AY41" s="24" t="s">
        <v>115</v>
      </c>
    </row>
    <row r="42" spans="1:51" x14ac:dyDescent="0.2">
      <c r="A42" s="27" t="s">
        <v>924</v>
      </c>
      <c r="B42" s="27" t="s">
        <v>925</v>
      </c>
      <c r="C42" s="27" t="s">
        <v>926</v>
      </c>
      <c r="D42" s="27" t="s">
        <v>431</v>
      </c>
      <c r="E42" s="28">
        <v>122616042</v>
      </c>
      <c r="F42" s="28">
        <v>34000000</v>
      </c>
      <c r="G42" s="29">
        <v>183</v>
      </c>
      <c r="H42" s="29">
        <v>406</v>
      </c>
      <c r="I42" s="27" t="s">
        <v>219</v>
      </c>
      <c r="J42" s="27" t="s">
        <v>89</v>
      </c>
      <c r="K42" s="27" t="s">
        <v>90</v>
      </c>
      <c r="L42" s="27" t="s">
        <v>91</v>
      </c>
      <c r="M42" s="27" t="s">
        <v>927</v>
      </c>
      <c r="N42" s="29">
        <v>16</v>
      </c>
      <c r="O42" s="27" t="s">
        <v>928</v>
      </c>
      <c r="P42" s="27"/>
      <c r="Q42" s="27" t="s">
        <v>929</v>
      </c>
      <c r="R42" s="27" t="s">
        <v>930</v>
      </c>
      <c r="S42" s="27" t="s">
        <v>931</v>
      </c>
      <c r="T42" s="27" t="s">
        <v>26</v>
      </c>
      <c r="U42" s="27" t="s">
        <v>932</v>
      </c>
      <c r="V42" s="27" t="s">
        <v>933</v>
      </c>
      <c r="W42" s="27" t="s">
        <v>934</v>
      </c>
      <c r="X42" s="27" t="s">
        <v>104</v>
      </c>
      <c r="Y42" s="27"/>
      <c r="Z42" s="27"/>
      <c r="AA42" s="27"/>
      <c r="AB42" s="27"/>
      <c r="AC42" s="27"/>
      <c r="AD42" s="27"/>
      <c r="AE42" s="27"/>
      <c r="AF42" s="27"/>
      <c r="AG42" s="27"/>
      <c r="AH42" s="27" t="s">
        <v>935</v>
      </c>
      <c r="AI42" s="27" t="s">
        <v>936</v>
      </c>
      <c r="AJ42" s="27" t="s">
        <v>937</v>
      </c>
      <c r="AK42" s="27" t="s">
        <v>938</v>
      </c>
      <c r="AL42" s="27" t="s">
        <v>136</v>
      </c>
      <c r="AM42" s="27" t="s">
        <v>933</v>
      </c>
      <c r="AN42" s="27" t="s">
        <v>939</v>
      </c>
      <c r="AO42" s="27" t="s">
        <v>940</v>
      </c>
      <c r="AP42" s="27" t="s">
        <v>136</v>
      </c>
      <c r="AQ42" s="27" t="s">
        <v>941</v>
      </c>
      <c r="AR42" s="27" t="s">
        <v>942</v>
      </c>
      <c r="AS42" s="27" t="s">
        <v>943</v>
      </c>
      <c r="AT42" s="27" t="s">
        <v>163</v>
      </c>
      <c r="AU42" s="27" t="s">
        <v>933</v>
      </c>
      <c r="AV42" s="27" t="s">
        <v>944</v>
      </c>
      <c r="AW42" s="27" t="s">
        <v>945</v>
      </c>
      <c r="AX42" s="27" t="s">
        <v>946</v>
      </c>
      <c r="AY42" s="27" t="s">
        <v>115</v>
      </c>
    </row>
    <row r="43" spans="1:51" x14ac:dyDescent="0.2">
      <c r="A43" s="24" t="s">
        <v>947</v>
      </c>
      <c r="B43" s="24" t="s">
        <v>948</v>
      </c>
      <c r="C43" s="24"/>
      <c r="D43" s="24" t="s">
        <v>87</v>
      </c>
      <c r="E43" s="25">
        <v>120004308</v>
      </c>
      <c r="F43" s="25">
        <v>1000000</v>
      </c>
      <c r="G43" s="26">
        <v>149</v>
      </c>
      <c r="H43" s="26">
        <v>899</v>
      </c>
      <c r="I43" s="24" t="s">
        <v>88</v>
      </c>
      <c r="J43" s="24" t="s">
        <v>89</v>
      </c>
      <c r="K43" s="24" t="s">
        <v>90</v>
      </c>
      <c r="L43" s="24" t="s">
        <v>91</v>
      </c>
      <c r="M43" s="24" t="s">
        <v>949</v>
      </c>
      <c r="N43" s="26">
        <v>21</v>
      </c>
      <c r="O43" s="24" t="s">
        <v>950</v>
      </c>
      <c r="P43" s="24" t="s">
        <v>951</v>
      </c>
      <c r="Q43" s="24" t="s">
        <v>952</v>
      </c>
      <c r="R43" s="24" t="s">
        <v>953</v>
      </c>
      <c r="S43" s="24" t="s">
        <v>954</v>
      </c>
      <c r="T43" s="24" t="s">
        <v>21</v>
      </c>
      <c r="U43" s="24" t="s">
        <v>955</v>
      </c>
      <c r="V43" s="24" t="s">
        <v>126</v>
      </c>
      <c r="W43" s="24" t="s">
        <v>956</v>
      </c>
      <c r="X43" s="24" t="s">
        <v>100</v>
      </c>
      <c r="Y43" s="24" t="s">
        <v>126</v>
      </c>
      <c r="Z43" s="24" t="s">
        <v>957</v>
      </c>
      <c r="AA43" s="24" t="s">
        <v>100</v>
      </c>
      <c r="AB43" s="24" t="s">
        <v>126</v>
      </c>
      <c r="AC43" s="24" t="s">
        <v>958</v>
      </c>
      <c r="AD43" s="24" t="s">
        <v>104</v>
      </c>
      <c r="AE43" s="24"/>
      <c r="AF43" s="24"/>
      <c r="AG43" s="24"/>
      <c r="AH43" s="24" t="s">
        <v>959</v>
      </c>
      <c r="AI43" s="24" t="s">
        <v>960</v>
      </c>
      <c r="AJ43" s="24" t="s">
        <v>961</v>
      </c>
      <c r="AK43" s="24" t="s">
        <v>962</v>
      </c>
      <c r="AL43" s="24" t="s">
        <v>109</v>
      </c>
      <c r="AM43" s="24" t="s">
        <v>126</v>
      </c>
      <c r="AN43" s="24" t="s">
        <v>963</v>
      </c>
      <c r="AO43" s="24" t="s">
        <v>964</v>
      </c>
      <c r="AP43" s="24" t="s">
        <v>185</v>
      </c>
      <c r="AQ43" s="24" t="s">
        <v>126</v>
      </c>
      <c r="AR43" s="24" t="s">
        <v>965</v>
      </c>
      <c r="AS43" s="24"/>
      <c r="AT43" s="24"/>
      <c r="AU43" s="24"/>
      <c r="AV43" s="24"/>
      <c r="AW43" s="24" t="s">
        <v>966</v>
      </c>
      <c r="AX43" s="24" t="s">
        <v>967</v>
      </c>
      <c r="AY43" s="24" t="s">
        <v>115</v>
      </c>
    </row>
    <row r="44" spans="1:51" x14ac:dyDescent="0.2">
      <c r="A44" s="27" t="s">
        <v>968</v>
      </c>
      <c r="B44" s="27" t="s">
        <v>969</v>
      </c>
      <c r="C44" s="27"/>
      <c r="D44" s="27" t="s">
        <v>431</v>
      </c>
      <c r="E44" s="28">
        <v>115838526</v>
      </c>
      <c r="F44" s="28">
        <v>19100000</v>
      </c>
      <c r="G44" s="29">
        <v>167</v>
      </c>
      <c r="H44" s="29">
        <v>697</v>
      </c>
      <c r="I44" s="27" t="s">
        <v>143</v>
      </c>
      <c r="J44" s="27" t="s">
        <v>89</v>
      </c>
      <c r="K44" s="27" t="s">
        <v>336</v>
      </c>
      <c r="L44" s="27" t="s">
        <v>337</v>
      </c>
      <c r="M44" s="27" t="s">
        <v>970</v>
      </c>
      <c r="N44" s="29">
        <v>3</v>
      </c>
      <c r="O44" s="27" t="s">
        <v>971</v>
      </c>
      <c r="P44" s="27" t="s">
        <v>972</v>
      </c>
      <c r="Q44" s="27"/>
      <c r="R44" s="27" t="s">
        <v>973</v>
      </c>
      <c r="S44" s="27" t="s">
        <v>974</v>
      </c>
      <c r="T44" s="27" t="s">
        <v>21</v>
      </c>
      <c r="U44" s="27" t="s">
        <v>975</v>
      </c>
      <c r="V44" s="27" t="s">
        <v>749</v>
      </c>
      <c r="W44" s="27" t="s">
        <v>976</v>
      </c>
      <c r="X44" s="27" t="s">
        <v>100</v>
      </c>
      <c r="Y44" s="27" t="s">
        <v>749</v>
      </c>
      <c r="Z44" s="27" t="s">
        <v>977</v>
      </c>
      <c r="AA44" s="27" t="s">
        <v>100</v>
      </c>
      <c r="AB44" s="27" t="s">
        <v>749</v>
      </c>
      <c r="AC44" s="27" t="s">
        <v>978</v>
      </c>
      <c r="AD44" s="27" t="s">
        <v>100</v>
      </c>
      <c r="AE44" s="27" t="s">
        <v>749</v>
      </c>
      <c r="AF44" s="27" t="s">
        <v>979</v>
      </c>
      <c r="AG44" s="27" t="s">
        <v>104</v>
      </c>
      <c r="AH44" s="27" t="s">
        <v>980</v>
      </c>
      <c r="AI44" s="27" t="s">
        <v>981</v>
      </c>
      <c r="AJ44" s="27" t="s">
        <v>982</v>
      </c>
      <c r="AK44" s="27" t="s">
        <v>983</v>
      </c>
      <c r="AL44" s="27" t="s">
        <v>133</v>
      </c>
      <c r="AM44" s="27"/>
      <c r="AN44" s="27"/>
      <c r="AO44" s="27" t="s">
        <v>984</v>
      </c>
      <c r="AP44" s="27" t="s">
        <v>133</v>
      </c>
      <c r="AQ44" s="27" t="s">
        <v>749</v>
      </c>
      <c r="AR44" s="27" t="s">
        <v>985</v>
      </c>
      <c r="AS44" s="27" t="s">
        <v>986</v>
      </c>
      <c r="AT44" s="27" t="s">
        <v>133</v>
      </c>
      <c r="AU44" s="27" t="s">
        <v>749</v>
      </c>
      <c r="AV44" s="27" t="s">
        <v>987</v>
      </c>
      <c r="AW44" s="27" t="s">
        <v>988</v>
      </c>
      <c r="AX44" s="27" t="s">
        <v>989</v>
      </c>
      <c r="AY44" s="27" t="s">
        <v>115</v>
      </c>
    </row>
    <row r="45" spans="1:51" x14ac:dyDescent="0.2">
      <c r="A45" s="24" t="s">
        <v>990</v>
      </c>
      <c r="B45" s="24" t="s">
        <v>991</v>
      </c>
      <c r="C45" s="24"/>
      <c r="D45" s="24" t="s">
        <v>87</v>
      </c>
      <c r="E45" s="25">
        <v>114453515</v>
      </c>
      <c r="F45" s="25">
        <v>26017609</v>
      </c>
      <c r="G45" s="26"/>
      <c r="H45" s="26">
        <v>681</v>
      </c>
      <c r="I45" s="24" t="s">
        <v>143</v>
      </c>
      <c r="J45" s="24" t="s">
        <v>89</v>
      </c>
      <c r="K45" s="24" t="s">
        <v>336</v>
      </c>
      <c r="L45" s="24" t="s">
        <v>337</v>
      </c>
      <c r="M45" s="24" t="s">
        <v>992</v>
      </c>
      <c r="N45" s="26">
        <v>6</v>
      </c>
      <c r="O45" s="24" t="s">
        <v>993</v>
      </c>
      <c r="P45" s="24" t="s">
        <v>994</v>
      </c>
      <c r="Q45" s="24" t="s">
        <v>995</v>
      </c>
      <c r="R45" s="24" t="s">
        <v>996</v>
      </c>
      <c r="S45" s="24" t="s">
        <v>997</v>
      </c>
      <c r="T45" s="24" t="s">
        <v>31</v>
      </c>
      <c r="U45" s="24" t="s">
        <v>998</v>
      </c>
      <c r="V45" s="24" t="s">
        <v>98</v>
      </c>
      <c r="W45" s="24" t="s">
        <v>999</v>
      </c>
      <c r="X45" s="24" t="s">
        <v>100</v>
      </c>
      <c r="Y45" s="24" t="s">
        <v>98</v>
      </c>
      <c r="Z45" s="24" t="s">
        <v>1000</v>
      </c>
      <c r="AA45" s="24" t="s">
        <v>100</v>
      </c>
      <c r="AB45" s="24" t="s">
        <v>98</v>
      </c>
      <c r="AC45" s="24" t="s">
        <v>1001</v>
      </c>
      <c r="AD45" s="24" t="s">
        <v>100</v>
      </c>
      <c r="AE45" s="24" t="s">
        <v>98</v>
      </c>
      <c r="AF45" s="24" t="s">
        <v>1002</v>
      </c>
      <c r="AG45" s="24" t="s">
        <v>104</v>
      </c>
      <c r="AH45" s="24" t="s">
        <v>1003</v>
      </c>
      <c r="AI45" s="24" t="s">
        <v>1004</v>
      </c>
      <c r="AJ45" s="24"/>
      <c r="AK45" s="24" t="s">
        <v>1005</v>
      </c>
      <c r="AL45" s="24" t="s">
        <v>163</v>
      </c>
      <c r="AM45" s="24" t="s">
        <v>98</v>
      </c>
      <c r="AN45" s="24" t="s">
        <v>1002</v>
      </c>
      <c r="AO45" s="24" t="s">
        <v>1006</v>
      </c>
      <c r="AP45" s="24" t="s">
        <v>163</v>
      </c>
      <c r="AQ45" s="24" t="s">
        <v>98</v>
      </c>
      <c r="AR45" s="24" t="s">
        <v>1007</v>
      </c>
      <c r="AS45" s="24" t="s">
        <v>1008</v>
      </c>
      <c r="AT45" s="24" t="s">
        <v>163</v>
      </c>
      <c r="AU45" s="24" t="s">
        <v>263</v>
      </c>
      <c r="AV45" s="24" t="s">
        <v>1009</v>
      </c>
      <c r="AW45" s="24" t="s">
        <v>1010</v>
      </c>
      <c r="AX45" s="24" t="s">
        <v>1011</v>
      </c>
      <c r="AY45" s="24" t="s">
        <v>115</v>
      </c>
    </row>
    <row r="46" spans="1:51" x14ac:dyDescent="0.2">
      <c r="A46" s="27" t="s">
        <v>1012</v>
      </c>
      <c r="B46" s="27" t="s">
        <v>1013</v>
      </c>
      <c r="C46" s="27" t="s">
        <v>1014</v>
      </c>
      <c r="D46" s="27" t="s">
        <v>431</v>
      </c>
      <c r="E46" s="28">
        <v>112875539</v>
      </c>
      <c r="F46" s="28">
        <v>62001444</v>
      </c>
      <c r="G46" s="29">
        <v>62</v>
      </c>
      <c r="H46" s="29">
        <v>735</v>
      </c>
      <c r="I46" s="27" t="s">
        <v>88</v>
      </c>
      <c r="J46" s="27" t="s">
        <v>89</v>
      </c>
      <c r="K46" s="27" t="s">
        <v>144</v>
      </c>
      <c r="L46" s="27" t="s">
        <v>145</v>
      </c>
      <c r="M46" s="27" t="s">
        <v>1015</v>
      </c>
      <c r="N46" s="29">
        <v>1</v>
      </c>
      <c r="O46" s="27" t="s">
        <v>1016</v>
      </c>
      <c r="P46" s="27" t="s">
        <v>1017</v>
      </c>
      <c r="Q46" s="27"/>
      <c r="R46" s="27" t="s">
        <v>1018</v>
      </c>
      <c r="S46" s="27" t="s">
        <v>1019</v>
      </c>
      <c r="T46" s="27" t="s">
        <v>31</v>
      </c>
      <c r="U46" s="27" t="s">
        <v>1020</v>
      </c>
      <c r="V46" s="27" t="s">
        <v>1021</v>
      </c>
      <c r="W46" s="27" t="s">
        <v>1022</v>
      </c>
      <c r="X46" s="27" t="s">
        <v>100</v>
      </c>
      <c r="Y46" s="27" t="s">
        <v>1021</v>
      </c>
      <c r="Z46" s="27" t="s">
        <v>1023</v>
      </c>
      <c r="AA46" s="27" t="s">
        <v>104</v>
      </c>
      <c r="AB46" s="27"/>
      <c r="AC46" s="27"/>
      <c r="AD46" s="27"/>
      <c r="AE46" s="27"/>
      <c r="AF46" s="27"/>
      <c r="AG46" s="27"/>
      <c r="AH46" s="27" t="s">
        <v>1024</v>
      </c>
      <c r="AI46" s="27"/>
      <c r="AJ46" s="27"/>
      <c r="AK46" s="27" t="s">
        <v>1025</v>
      </c>
      <c r="AL46" s="27" t="s">
        <v>136</v>
      </c>
      <c r="AM46" s="27" t="s">
        <v>1021</v>
      </c>
      <c r="AN46" s="27" t="s">
        <v>1026</v>
      </c>
      <c r="AO46" s="27" t="s">
        <v>1027</v>
      </c>
      <c r="AP46" s="27" t="s">
        <v>163</v>
      </c>
      <c r="AQ46" s="27" t="s">
        <v>1021</v>
      </c>
      <c r="AR46" s="27" t="s">
        <v>1028</v>
      </c>
      <c r="AS46" s="27" t="s">
        <v>1029</v>
      </c>
      <c r="AT46" s="27" t="s">
        <v>136</v>
      </c>
      <c r="AU46" s="27"/>
      <c r="AV46" s="27"/>
      <c r="AW46" s="27" t="s">
        <v>1030</v>
      </c>
      <c r="AX46" s="27" t="s">
        <v>1031</v>
      </c>
      <c r="AY46" s="27" t="s">
        <v>290</v>
      </c>
    </row>
    <row r="47" spans="1:51" x14ac:dyDescent="0.2">
      <c r="A47" s="24" t="s">
        <v>1032</v>
      </c>
      <c r="B47" s="24" t="s">
        <v>1033</v>
      </c>
      <c r="C47" s="24"/>
      <c r="D47" s="24" t="s">
        <v>87</v>
      </c>
      <c r="E47" s="25">
        <v>111638228</v>
      </c>
      <c r="F47" s="25">
        <v>48664333</v>
      </c>
      <c r="G47" s="26">
        <v>101</v>
      </c>
      <c r="H47" s="26">
        <v>577</v>
      </c>
      <c r="I47" s="24" t="s">
        <v>143</v>
      </c>
      <c r="J47" s="24" t="s">
        <v>89</v>
      </c>
      <c r="K47" s="24" t="s">
        <v>90</v>
      </c>
      <c r="L47" s="24" t="s">
        <v>91</v>
      </c>
      <c r="M47" s="24" t="s">
        <v>1034</v>
      </c>
      <c r="N47" s="26">
        <v>17</v>
      </c>
      <c r="O47" s="24" t="s">
        <v>1035</v>
      </c>
      <c r="P47" s="24" t="s">
        <v>1036</v>
      </c>
      <c r="Q47" s="24" t="s">
        <v>1037</v>
      </c>
      <c r="R47" s="24" t="s">
        <v>1038</v>
      </c>
      <c r="S47" s="24" t="s">
        <v>342</v>
      </c>
      <c r="T47" s="24" t="s">
        <v>31</v>
      </c>
      <c r="U47" s="24" t="s">
        <v>1039</v>
      </c>
      <c r="V47" s="24" t="s">
        <v>98</v>
      </c>
      <c r="W47" s="24" t="s">
        <v>1040</v>
      </c>
      <c r="X47" s="24" t="s">
        <v>100</v>
      </c>
      <c r="Y47" s="24" t="s">
        <v>213</v>
      </c>
      <c r="Z47" s="24" t="s">
        <v>1041</v>
      </c>
      <c r="AA47" s="24" t="s">
        <v>100</v>
      </c>
      <c r="AB47" s="24" t="s">
        <v>98</v>
      </c>
      <c r="AC47" s="24" t="s">
        <v>1042</v>
      </c>
      <c r="AD47" s="24" t="s">
        <v>100</v>
      </c>
      <c r="AE47" s="24" t="s">
        <v>98</v>
      </c>
      <c r="AF47" s="24" t="s">
        <v>1043</v>
      </c>
      <c r="AG47" s="24" t="s">
        <v>104</v>
      </c>
      <c r="AH47" s="24" t="s">
        <v>1044</v>
      </c>
      <c r="AI47" s="24" t="s">
        <v>1045</v>
      </c>
      <c r="AJ47" s="24" t="s">
        <v>1046</v>
      </c>
      <c r="AK47" s="24" t="s">
        <v>1047</v>
      </c>
      <c r="AL47" s="24" t="s">
        <v>237</v>
      </c>
      <c r="AM47" s="24"/>
      <c r="AN47" s="24"/>
      <c r="AO47" s="24" t="s">
        <v>1048</v>
      </c>
      <c r="AP47" s="24" t="s">
        <v>136</v>
      </c>
      <c r="AQ47" s="24" t="s">
        <v>98</v>
      </c>
      <c r="AR47" s="24" t="s">
        <v>1049</v>
      </c>
      <c r="AS47" s="24" t="s">
        <v>1050</v>
      </c>
      <c r="AT47" s="24" t="s">
        <v>136</v>
      </c>
      <c r="AU47" s="24" t="s">
        <v>352</v>
      </c>
      <c r="AV47" s="24" t="s">
        <v>1051</v>
      </c>
      <c r="AW47" s="24" t="s">
        <v>1052</v>
      </c>
      <c r="AX47" s="24" t="s">
        <v>1053</v>
      </c>
      <c r="AY47" s="24" t="s">
        <v>115</v>
      </c>
    </row>
    <row r="48" spans="1:51" x14ac:dyDescent="0.2">
      <c r="A48" s="27" t="s">
        <v>1054</v>
      </c>
      <c r="B48" s="27" t="s">
        <v>1055</v>
      </c>
      <c r="C48" s="27"/>
      <c r="D48" s="27" t="s">
        <v>431</v>
      </c>
      <c r="E48" s="28">
        <v>109268905</v>
      </c>
      <c r="F48" s="28">
        <v>103360943</v>
      </c>
      <c r="G48" s="29">
        <v>242</v>
      </c>
      <c r="H48" s="29">
        <v>481</v>
      </c>
      <c r="I48" s="27" t="s">
        <v>219</v>
      </c>
      <c r="J48" s="27" t="s">
        <v>89</v>
      </c>
      <c r="K48" s="27" t="s">
        <v>90</v>
      </c>
      <c r="L48" s="27" t="s">
        <v>91</v>
      </c>
      <c r="M48" s="27" t="s">
        <v>1056</v>
      </c>
      <c r="N48" s="29">
        <v>4</v>
      </c>
      <c r="O48" s="27" t="s">
        <v>1057</v>
      </c>
      <c r="P48" s="27" t="s">
        <v>1058</v>
      </c>
      <c r="Q48" s="27"/>
      <c r="R48" s="27" t="s">
        <v>1059</v>
      </c>
      <c r="S48" s="27" t="s">
        <v>1060</v>
      </c>
      <c r="T48" s="27" t="s">
        <v>21</v>
      </c>
      <c r="U48" s="27" t="s">
        <v>1061</v>
      </c>
      <c r="V48" s="27" t="s">
        <v>1021</v>
      </c>
      <c r="W48" s="27" t="s">
        <v>1062</v>
      </c>
      <c r="X48" s="27" t="s">
        <v>100</v>
      </c>
      <c r="Y48" s="27" t="s">
        <v>1063</v>
      </c>
      <c r="Z48" s="27" t="s">
        <v>1064</v>
      </c>
      <c r="AA48" s="27" t="s">
        <v>100</v>
      </c>
      <c r="AB48" s="27" t="s">
        <v>1021</v>
      </c>
      <c r="AC48" s="27" t="s">
        <v>1065</v>
      </c>
      <c r="AD48" s="27" t="s">
        <v>100</v>
      </c>
      <c r="AE48" s="27"/>
      <c r="AF48" s="27"/>
      <c r="AG48" s="27"/>
      <c r="AH48" s="27" t="s">
        <v>1066</v>
      </c>
      <c r="AI48" s="27"/>
      <c r="AJ48" s="27"/>
      <c r="AK48" s="27" t="s">
        <v>1067</v>
      </c>
      <c r="AL48" s="27" t="s">
        <v>133</v>
      </c>
      <c r="AM48" s="27" t="s">
        <v>1063</v>
      </c>
      <c r="AN48" s="27" t="s">
        <v>1068</v>
      </c>
      <c r="AO48" s="27" t="s">
        <v>1069</v>
      </c>
      <c r="AP48" s="27" t="s">
        <v>133</v>
      </c>
      <c r="AQ48" s="27" t="s">
        <v>1021</v>
      </c>
      <c r="AR48" s="27" t="s">
        <v>1070</v>
      </c>
      <c r="AS48" s="27" t="s">
        <v>1071</v>
      </c>
      <c r="AT48" s="27" t="s">
        <v>133</v>
      </c>
      <c r="AU48" s="27" t="s">
        <v>1063</v>
      </c>
      <c r="AV48" s="27" t="s">
        <v>1072</v>
      </c>
      <c r="AW48" s="27" t="s">
        <v>1073</v>
      </c>
      <c r="AX48" s="27" t="s">
        <v>1074</v>
      </c>
      <c r="AY48" s="27" t="s">
        <v>115</v>
      </c>
    </row>
    <row r="49" spans="1:51" x14ac:dyDescent="0.2">
      <c r="A49" s="24" t="s">
        <v>1075</v>
      </c>
      <c r="B49" s="24" t="s">
        <v>1076</v>
      </c>
      <c r="C49" s="24" t="s">
        <v>1077</v>
      </c>
      <c r="D49" s="24" t="s">
        <v>87</v>
      </c>
      <c r="E49" s="25">
        <v>106303433</v>
      </c>
      <c r="F49" s="25">
        <v>1000000</v>
      </c>
      <c r="G49" s="26">
        <v>1</v>
      </c>
      <c r="H49" s="26">
        <v>933</v>
      </c>
      <c r="I49" s="24" t="s">
        <v>88</v>
      </c>
      <c r="J49" s="24" t="s">
        <v>89</v>
      </c>
      <c r="K49" s="24" t="s">
        <v>144</v>
      </c>
      <c r="L49" s="24" t="s">
        <v>145</v>
      </c>
      <c r="M49" s="24" t="s">
        <v>1078</v>
      </c>
      <c r="N49" s="26">
        <v>4</v>
      </c>
      <c r="O49" s="24" t="s">
        <v>1079</v>
      </c>
      <c r="P49" s="24"/>
      <c r="Q49" s="24" t="s">
        <v>1080</v>
      </c>
      <c r="R49" s="24" t="s">
        <v>1081</v>
      </c>
      <c r="S49" s="24" t="s">
        <v>1082</v>
      </c>
      <c r="T49" s="24" t="s">
        <v>20</v>
      </c>
      <c r="U49" s="24" t="s">
        <v>1083</v>
      </c>
      <c r="V49" s="24" t="s">
        <v>1084</v>
      </c>
      <c r="W49" s="24" t="s">
        <v>1085</v>
      </c>
      <c r="X49" s="24" t="s">
        <v>100</v>
      </c>
      <c r="Y49" s="24" t="s">
        <v>1084</v>
      </c>
      <c r="Z49" s="24" t="s">
        <v>1086</v>
      </c>
      <c r="AA49" s="24" t="s">
        <v>100</v>
      </c>
      <c r="AB49" s="24" t="s">
        <v>1084</v>
      </c>
      <c r="AC49" s="24" t="s">
        <v>1087</v>
      </c>
      <c r="AD49" s="24" t="s">
        <v>100</v>
      </c>
      <c r="AE49" s="24" t="s">
        <v>1084</v>
      </c>
      <c r="AF49" s="24" t="s">
        <v>1088</v>
      </c>
      <c r="AG49" s="24" t="s">
        <v>104</v>
      </c>
      <c r="AH49" s="24"/>
      <c r="AI49" s="24"/>
      <c r="AJ49" s="24"/>
      <c r="AK49" s="24" t="s">
        <v>1089</v>
      </c>
      <c r="AL49" s="24" t="s">
        <v>133</v>
      </c>
      <c r="AM49" s="24" t="s">
        <v>1084</v>
      </c>
      <c r="AN49" s="24" t="s">
        <v>1090</v>
      </c>
      <c r="AO49" s="24" t="s">
        <v>1091</v>
      </c>
      <c r="AP49" s="24" t="s">
        <v>136</v>
      </c>
      <c r="AQ49" s="24" t="s">
        <v>1084</v>
      </c>
      <c r="AR49" s="24" t="s">
        <v>1092</v>
      </c>
      <c r="AS49" s="24"/>
      <c r="AT49" s="24"/>
      <c r="AU49" s="24"/>
      <c r="AV49" s="24"/>
      <c r="AW49" s="24" t="s">
        <v>1093</v>
      </c>
      <c r="AX49" s="24" t="s">
        <v>1094</v>
      </c>
      <c r="AY49" s="24" t="s">
        <v>115</v>
      </c>
    </row>
    <row r="50" spans="1:51" x14ac:dyDescent="0.2">
      <c r="A50" s="27" t="s">
        <v>1095</v>
      </c>
      <c r="B50" s="27" t="s">
        <v>1096</v>
      </c>
      <c r="C50" s="27" t="s">
        <v>1097</v>
      </c>
      <c r="D50" s="27" t="s">
        <v>431</v>
      </c>
      <c r="E50" s="28">
        <v>104290286</v>
      </c>
      <c r="F50" s="28">
        <v>24000000</v>
      </c>
      <c r="G50" s="29">
        <v>292</v>
      </c>
      <c r="H50" s="29">
        <v>742</v>
      </c>
      <c r="I50" s="27" t="s">
        <v>88</v>
      </c>
      <c r="J50" s="27" t="s">
        <v>89</v>
      </c>
      <c r="K50" s="27" t="s">
        <v>407</v>
      </c>
      <c r="L50" s="27" t="s">
        <v>408</v>
      </c>
      <c r="M50" s="27" t="s">
        <v>1098</v>
      </c>
      <c r="N50" s="29">
        <v>3</v>
      </c>
      <c r="O50" s="27" t="s">
        <v>1099</v>
      </c>
      <c r="P50" s="27"/>
      <c r="Q50" s="27" t="s">
        <v>1100</v>
      </c>
      <c r="R50" s="27" t="s">
        <v>1101</v>
      </c>
      <c r="S50" s="27" t="s">
        <v>1102</v>
      </c>
      <c r="T50" s="27" t="s">
        <v>21</v>
      </c>
      <c r="U50" s="27" t="s">
        <v>1103</v>
      </c>
      <c r="V50" s="27" t="s">
        <v>126</v>
      </c>
      <c r="W50" s="27" t="s">
        <v>1104</v>
      </c>
      <c r="X50" s="27" t="s">
        <v>100</v>
      </c>
      <c r="Y50" s="27" t="s">
        <v>126</v>
      </c>
      <c r="Z50" s="27" t="s">
        <v>1105</v>
      </c>
      <c r="AA50" s="27" t="s">
        <v>100</v>
      </c>
      <c r="AB50" s="27" t="s">
        <v>126</v>
      </c>
      <c r="AC50" s="27" t="s">
        <v>1106</v>
      </c>
      <c r="AD50" s="27" t="s">
        <v>100</v>
      </c>
      <c r="AE50" s="27" t="s">
        <v>126</v>
      </c>
      <c r="AF50" s="27" t="s">
        <v>1107</v>
      </c>
      <c r="AG50" s="27" t="s">
        <v>104</v>
      </c>
      <c r="AH50" s="27" t="s">
        <v>1108</v>
      </c>
      <c r="AI50" s="27"/>
      <c r="AJ50" s="27"/>
      <c r="AK50" s="27" t="s">
        <v>1109</v>
      </c>
      <c r="AL50" s="27" t="s">
        <v>133</v>
      </c>
      <c r="AM50" s="27" t="s">
        <v>126</v>
      </c>
      <c r="AN50" s="27" t="s">
        <v>1110</v>
      </c>
      <c r="AO50" s="27"/>
      <c r="AP50" s="27"/>
      <c r="AQ50" s="27"/>
      <c r="AR50" s="27"/>
      <c r="AS50" s="27"/>
      <c r="AT50" s="27"/>
      <c r="AU50" s="27"/>
      <c r="AV50" s="27"/>
      <c r="AW50" s="27" t="s">
        <v>1111</v>
      </c>
      <c r="AX50" s="27" t="s">
        <v>1112</v>
      </c>
      <c r="AY50" s="27" t="s">
        <v>115</v>
      </c>
    </row>
    <row r="51" spans="1:51" x14ac:dyDescent="0.2">
      <c r="A51" s="24" t="s">
        <v>1113</v>
      </c>
      <c r="B51" s="24" t="s">
        <v>1114</v>
      </c>
      <c r="C51" s="24" t="s">
        <v>1115</v>
      </c>
      <c r="D51" s="24" t="s">
        <v>87</v>
      </c>
      <c r="E51" s="25">
        <v>102308505</v>
      </c>
      <c r="F51" s="25">
        <v>19679184</v>
      </c>
      <c r="G51" s="26">
        <v>261</v>
      </c>
      <c r="H51" s="26">
        <v>899</v>
      </c>
      <c r="I51" s="24" t="s">
        <v>88</v>
      </c>
      <c r="J51" s="24" t="s">
        <v>89</v>
      </c>
      <c r="K51" s="24" t="s">
        <v>244</v>
      </c>
      <c r="L51" s="24" t="s">
        <v>245</v>
      </c>
      <c r="M51" s="24" t="s">
        <v>1116</v>
      </c>
      <c r="N51" s="26">
        <v>15</v>
      </c>
      <c r="O51" s="24" t="s">
        <v>1117</v>
      </c>
      <c r="P51" s="24" t="s">
        <v>1118</v>
      </c>
      <c r="Q51" s="24" t="s">
        <v>1119</v>
      </c>
      <c r="R51" s="24" t="s">
        <v>1120</v>
      </c>
      <c r="S51" s="24" t="s">
        <v>1121</v>
      </c>
      <c r="T51" s="24" t="s">
        <v>16</v>
      </c>
      <c r="U51" s="24" t="s">
        <v>1122</v>
      </c>
      <c r="V51" s="24" t="s">
        <v>1123</v>
      </c>
      <c r="W51" s="24" t="s">
        <v>1124</v>
      </c>
      <c r="X51" s="24" t="s">
        <v>100</v>
      </c>
      <c r="Y51" s="24" t="s">
        <v>1123</v>
      </c>
      <c r="Z51" s="24" t="s">
        <v>1125</v>
      </c>
      <c r="AA51" s="24" t="s">
        <v>100</v>
      </c>
      <c r="AB51" s="24" t="s">
        <v>1123</v>
      </c>
      <c r="AC51" s="24" t="s">
        <v>1126</v>
      </c>
      <c r="AD51" s="24" t="s">
        <v>100</v>
      </c>
      <c r="AE51" s="24" t="s">
        <v>1123</v>
      </c>
      <c r="AF51" s="24" t="s">
        <v>1127</v>
      </c>
      <c r="AG51" s="24" t="s">
        <v>104</v>
      </c>
      <c r="AH51" s="24" t="s">
        <v>1128</v>
      </c>
      <c r="AI51" s="24" t="s">
        <v>1129</v>
      </c>
      <c r="AJ51" s="24" t="s">
        <v>1130</v>
      </c>
      <c r="AK51" s="24" t="s">
        <v>1131</v>
      </c>
      <c r="AL51" s="24" t="s">
        <v>109</v>
      </c>
      <c r="AM51" s="24" t="s">
        <v>1123</v>
      </c>
      <c r="AN51" s="24" t="s">
        <v>1132</v>
      </c>
      <c r="AO51" s="24" t="s">
        <v>1133</v>
      </c>
      <c r="AP51" s="24" t="s">
        <v>185</v>
      </c>
      <c r="AQ51" s="24" t="s">
        <v>1123</v>
      </c>
      <c r="AR51" s="24" t="s">
        <v>1134</v>
      </c>
      <c r="AS51" s="24" t="s">
        <v>1135</v>
      </c>
      <c r="AT51" s="24" t="s">
        <v>109</v>
      </c>
      <c r="AU51" s="24" t="s">
        <v>1123</v>
      </c>
      <c r="AV51" s="24" t="s">
        <v>1136</v>
      </c>
      <c r="AW51" s="24" t="s">
        <v>1137</v>
      </c>
      <c r="AX51" s="24" t="s">
        <v>1138</v>
      </c>
      <c r="AY51" s="24" t="s">
        <v>115</v>
      </c>
    </row>
  </sheetData>
  <autoFilter ref="A4:AY51" xr:uid="{00000000-0009-0000-0000-000001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1" sqref="C31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1139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12</v>
      </c>
      <c r="U4" s="5" t="s">
        <v>54</v>
      </c>
      <c r="V4" s="5" t="s">
        <v>55</v>
      </c>
      <c r="W4" s="5" t="s">
        <v>56</v>
      </c>
      <c r="X4" s="5" t="s">
        <v>57</v>
      </c>
      <c r="Y4" s="5" t="s">
        <v>58</v>
      </c>
      <c r="Z4" s="5" t="s">
        <v>59</v>
      </c>
      <c r="AA4" s="5" t="s">
        <v>60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  <c r="AG4" s="5" t="s">
        <v>66</v>
      </c>
      <c r="AH4" s="5" t="s">
        <v>67</v>
      </c>
      <c r="AI4" s="5" t="s">
        <v>68</v>
      </c>
      <c r="AJ4" s="5" t="s">
        <v>69</v>
      </c>
      <c r="AK4" s="5" t="s">
        <v>70</v>
      </c>
      <c r="AL4" s="5" t="s">
        <v>71</v>
      </c>
      <c r="AM4" s="5" t="s">
        <v>72</v>
      </c>
      <c r="AN4" s="5" t="s">
        <v>73</v>
      </c>
      <c r="AO4" s="5" t="s">
        <v>74</v>
      </c>
      <c r="AP4" s="5" t="s">
        <v>75</v>
      </c>
      <c r="AQ4" s="5" t="s">
        <v>76</v>
      </c>
      <c r="AR4" s="5" t="s">
        <v>77</v>
      </c>
      <c r="AS4" s="5" t="s">
        <v>78</v>
      </c>
      <c r="AT4" s="5" t="s">
        <v>79</v>
      </c>
      <c r="AU4" s="5" t="s">
        <v>80</v>
      </c>
      <c r="AV4" s="5" t="s">
        <v>81</v>
      </c>
      <c r="AW4" s="5" t="s">
        <v>82</v>
      </c>
      <c r="AX4" s="5" t="s">
        <v>83</v>
      </c>
      <c r="AY4" s="5" t="s">
        <v>84</v>
      </c>
    </row>
    <row r="5" spans="1:51" x14ac:dyDescent="0.2">
      <c r="A5" s="24" t="s">
        <v>1140</v>
      </c>
      <c r="B5" s="24" t="s">
        <v>1141</v>
      </c>
      <c r="C5" s="24"/>
      <c r="D5" s="24" t="s">
        <v>87</v>
      </c>
      <c r="E5" s="25">
        <v>468405686</v>
      </c>
      <c r="F5" s="25">
        <v>3100000</v>
      </c>
      <c r="G5" s="26">
        <v>313</v>
      </c>
      <c r="H5" s="26">
        <v>410</v>
      </c>
      <c r="I5" s="24" t="s">
        <v>219</v>
      </c>
      <c r="J5" s="24" t="s">
        <v>89</v>
      </c>
      <c r="K5" s="24" t="s">
        <v>407</v>
      </c>
      <c r="L5" s="24" t="s">
        <v>408</v>
      </c>
      <c r="M5" s="24" t="s">
        <v>1142</v>
      </c>
      <c r="N5" s="26">
        <v>1</v>
      </c>
      <c r="O5" s="24" t="s">
        <v>1143</v>
      </c>
      <c r="P5" s="24" t="s">
        <v>411</v>
      </c>
      <c r="Q5" s="24"/>
      <c r="R5" s="24" t="s">
        <v>1144</v>
      </c>
      <c r="S5" s="24" t="s">
        <v>1145</v>
      </c>
      <c r="T5" s="24" t="s">
        <v>31</v>
      </c>
      <c r="U5" s="24" t="s">
        <v>1146</v>
      </c>
      <c r="V5" s="24" t="s">
        <v>792</v>
      </c>
      <c r="W5" s="24" t="s">
        <v>1147</v>
      </c>
      <c r="X5" s="24" t="s">
        <v>100</v>
      </c>
      <c r="Y5" s="24" t="s">
        <v>98</v>
      </c>
      <c r="Z5" s="24" t="s">
        <v>1148</v>
      </c>
      <c r="AA5" s="24" t="s">
        <v>100</v>
      </c>
      <c r="AB5" s="24" t="s">
        <v>352</v>
      </c>
      <c r="AC5" s="24" t="s">
        <v>1149</v>
      </c>
      <c r="AD5" s="24" t="s">
        <v>100</v>
      </c>
      <c r="AE5" s="24" t="s">
        <v>98</v>
      </c>
      <c r="AF5" s="24" t="s">
        <v>1150</v>
      </c>
      <c r="AG5" s="24" t="s">
        <v>104</v>
      </c>
      <c r="AH5" s="24" t="s">
        <v>1151</v>
      </c>
      <c r="AI5" s="24" t="s">
        <v>1152</v>
      </c>
      <c r="AJ5" s="24" t="s">
        <v>1153</v>
      </c>
      <c r="AK5" s="24" t="s">
        <v>1154</v>
      </c>
      <c r="AL5" s="24" t="s">
        <v>109</v>
      </c>
      <c r="AM5" s="24" t="s">
        <v>98</v>
      </c>
      <c r="AN5" s="24" t="s">
        <v>1155</v>
      </c>
      <c r="AO5" s="24" t="s">
        <v>1156</v>
      </c>
      <c r="AP5" s="24" t="s">
        <v>109</v>
      </c>
      <c r="AQ5" s="24" t="s">
        <v>352</v>
      </c>
      <c r="AR5" s="24" t="s">
        <v>1157</v>
      </c>
      <c r="AS5" s="24"/>
      <c r="AT5" s="24"/>
      <c r="AU5" s="24"/>
      <c r="AV5" s="24"/>
      <c r="AW5" s="24" t="s">
        <v>1158</v>
      </c>
      <c r="AX5" s="24" t="s">
        <v>1159</v>
      </c>
      <c r="AY5" s="24" t="s">
        <v>115</v>
      </c>
    </row>
    <row r="6" spans="1:51" x14ac:dyDescent="0.2">
      <c r="A6" s="27" t="s">
        <v>1160</v>
      </c>
      <c r="B6" s="27" t="s">
        <v>1161</v>
      </c>
      <c r="C6" s="27"/>
      <c r="D6" s="27" t="s">
        <v>87</v>
      </c>
      <c r="E6" s="28">
        <v>431301757</v>
      </c>
      <c r="F6" s="28">
        <v>5120000</v>
      </c>
      <c r="G6" s="29">
        <v>19</v>
      </c>
      <c r="H6" s="29">
        <v>889</v>
      </c>
      <c r="I6" s="27" t="s">
        <v>88</v>
      </c>
      <c r="J6" s="27" t="s">
        <v>89</v>
      </c>
      <c r="K6" s="27" t="s">
        <v>1162</v>
      </c>
      <c r="L6" s="27" t="s">
        <v>1163</v>
      </c>
      <c r="M6" s="27" t="s">
        <v>1164</v>
      </c>
      <c r="N6" s="29">
        <v>1</v>
      </c>
      <c r="O6" s="27" t="s">
        <v>1165</v>
      </c>
      <c r="P6" s="27" t="s">
        <v>1166</v>
      </c>
      <c r="Q6" s="27" t="s">
        <v>1167</v>
      </c>
      <c r="R6" s="27" t="s">
        <v>1168</v>
      </c>
      <c r="S6" s="27" t="s">
        <v>1169</v>
      </c>
      <c r="T6" s="27" t="s">
        <v>31</v>
      </c>
      <c r="U6" s="27" t="s">
        <v>1170</v>
      </c>
      <c r="V6" s="27" t="s">
        <v>98</v>
      </c>
      <c r="W6" s="27" t="s">
        <v>1171</v>
      </c>
      <c r="X6" s="27" t="s">
        <v>100</v>
      </c>
      <c r="Y6" s="27" t="s">
        <v>98</v>
      </c>
      <c r="Z6" s="27" t="s">
        <v>1172</v>
      </c>
      <c r="AA6" s="27" t="s">
        <v>100</v>
      </c>
      <c r="AB6" s="27" t="s">
        <v>98</v>
      </c>
      <c r="AC6" s="27" t="s">
        <v>1173</v>
      </c>
      <c r="AD6" s="27" t="s">
        <v>100</v>
      </c>
      <c r="AE6" s="27" t="s">
        <v>352</v>
      </c>
      <c r="AF6" s="27" t="s">
        <v>1174</v>
      </c>
      <c r="AG6" s="27" t="s">
        <v>104</v>
      </c>
      <c r="AH6" s="27" t="s">
        <v>1175</v>
      </c>
      <c r="AI6" s="27"/>
      <c r="AJ6" s="27"/>
      <c r="AK6" s="27" t="s">
        <v>1176</v>
      </c>
      <c r="AL6" s="27" t="s">
        <v>109</v>
      </c>
      <c r="AM6" s="27"/>
      <c r="AN6" s="27"/>
      <c r="AO6" s="27" t="s">
        <v>1177</v>
      </c>
      <c r="AP6" s="27" t="s">
        <v>109</v>
      </c>
      <c r="AQ6" s="27" t="s">
        <v>98</v>
      </c>
      <c r="AR6" s="27" t="s">
        <v>1178</v>
      </c>
      <c r="AS6" s="27"/>
      <c r="AT6" s="27"/>
      <c r="AU6" s="27"/>
      <c r="AV6" s="27"/>
      <c r="AW6" s="27" t="s">
        <v>1179</v>
      </c>
      <c r="AX6" s="27" t="s">
        <v>1180</v>
      </c>
      <c r="AY6" s="27" t="s">
        <v>115</v>
      </c>
    </row>
    <row r="7" spans="1:51" x14ac:dyDescent="0.2">
      <c r="A7" s="24" t="s">
        <v>1181</v>
      </c>
      <c r="B7" s="24" t="s">
        <v>1182</v>
      </c>
      <c r="C7" s="24" t="s">
        <v>1183</v>
      </c>
      <c r="D7" s="24" t="s">
        <v>87</v>
      </c>
      <c r="E7" s="25">
        <v>415840903</v>
      </c>
      <c r="F7" s="25">
        <v>6597456</v>
      </c>
      <c r="G7" s="26">
        <v>61</v>
      </c>
      <c r="H7" s="26">
        <v>913</v>
      </c>
      <c r="I7" s="24" t="s">
        <v>88</v>
      </c>
      <c r="J7" s="24" t="s">
        <v>89</v>
      </c>
      <c r="K7" s="24" t="s">
        <v>192</v>
      </c>
      <c r="L7" s="24" t="s">
        <v>193</v>
      </c>
      <c r="M7" s="24" t="s">
        <v>1184</v>
      </c>
      <c r="N7" s="26">
        <v>0</v>
      </c>
      <c r="O7" s="24" t="s">
        <v>1185</v>
      </c>
      <c r="P7" s="24" t="s">
        <v>1186</v>
      </c>
      <c r="Q7" s="24"/>
      <c r="R7" s="24" t="s">
        <v>1187</v>
      </c>
      <c r="S7" s="24" t="s">
        <v>1188</v>
      </c>
      <c r="T7" s="24" t="s">
        <v>26</v>
      </c>
      <c r="U7" s="24" t="s">
        <v>1189</v>
      </c>
      <c r="V7" s="24" t="s">
        <v>252</v>
      </c>
      <c r="W7" s="24" t="s">
        <v>1190</v>
      </c>
      <c r="X7" s="24" t="s">
        <v>100</v>
      </c>
      <c r="Y7" s="24" t="s">
        <v>252</v>
      </c>
      <c r="Z7" s="24" t="s">
        <v>1191</v>
      </c>
      <c r="AA7" s="24" t="s">
        <v>104</v>
      </c>
      <c r="AB7" s="24" t="s">
        <v>252</v>
      </c>
      <c r="AC7" s="24" t="s">
        <v>1192</v>
      </c>
      <c r="AD7" s="24" t="s">
        <v>100</v>
      </c>
      <c r="AE7" s="24"/>
      <c r="AF7" s="24"/>
      <c r="AG7" s="24"/>
      <c r="AH7" s="24" t="s">
        <v>1193</v>
      </c>
      <c r="AI7" s="24" t="s">
        <v>1194</v>
      </c>
      <c r="AJ7" s="24" t="s">
        <v>1195</v>
      </c>
      <c r="AK7" s="24" t="s">
        <v>1196</v>
      </c>
      <c r="AL7" s="24" t="s">
        <v>185</v>
      </c>
      <c r="AM7" s="24" t="s">
        <v>252</v>
      </c>
      <c r="AN7" s="24" t="s">
        <v>1197</v>
      </c>
      <c r="AO7" s="24" t="s">
        <v>1198</v>
      </c>
      <c r="AP7" s="24" t="s">
        <v>109</v>
      </c>
      <c r="AQ7" s="24" t="s">
        <v>252</v>
      </c>
      <c r="AR7" s="24" t="s">
        <v>1199</v>
      </c>
      <c r="AS7" s="24" t="s">
        <v>1200</v>
      </c>
      <c r="AT7" s="24" t="s">
        <v>109</v>
      </c>
      <c r="AU7" s="24" t="s">
        <v>252</v>
      </c>
      <c r="AV7" s="24" t="s">
        <v>1201</v>
      </c>
      <c r="AW7" s="24" t="s">
        <v>1202</v>
      </c>
      <c r="AX7" s="24" t="s">
        <v>1203</v>
      </c>
      <c r="AY7" s="24" t="s">
        <v>115</v>
      </c>
    </row>
    <row r="8" spans="1:51" x14ac:dyDescent="0.2">
      <c r="A8" s="27" t="s">
        <v>1204</v>
      </c>
      <c r="B8" s="27" t="s">
        <v>1205</v>
      </c>
      <c r="C8" s="27"/>
      <c r="D8" s="27" t="s">
        <v>87</v>
      </c>
      <c r="E8" s="28">
        <v>407301183</v>
      </c>
      <c r="F8" s="28">
        <v>31884406</v>
      </c>
      <c r="G8" s="29">
        <v>78</v>
      </c>
      <c r="H8" s="29">
        <v>701</v>
      </c>
      <c r="I8" s="27" t="s">
        <v>88</v>
      </c>
      <c r="J8" s="27" t="s">
        <v>89</v>
      </c>
      <c r="K8" s="27" t="s">
        <v>244</v>
      </c>
      <c r="L8" s="27" t="s">
        <v>245</v>
      </c>
      <c r="M8" s="27" t="s">
        <v>1206</v>
      </c>
      <c r="N8" s="29">
        <v>1</v>
      </c>
      <c r="O8" s="27" t="s">
        <v>1207</v>
      </c>
      <c r="P8" s="27" t="s">
        <v>1208</v>
      </c>
      <c r="Q8" s="27" t="s">
        <v>1209</v>
      </c>
      <c r="R8" s="27" t="s">
        <v>149</v>
      </c>
      <c r="S8" s="27" t="s">
        <v>1210</v>
      </c>
      <c r="T8" s="27" t="s">
        <v>27</v>
      </c>
      <c r="U8" s="27" t="s">
        <v>1211</v>
      </c>
      <c r="V8" s="27" t="s">
        <v>439</v>
      </c>
      <c r="W8" s="27" t="s">
        <v>1212</v>
      </c>
      <c r="X8" s="27" t="s">
        <v>100</v>
      </c>
      <c r="Y8" s="27" t="s">
        <v>439</v>
      </c>
      <c r="Z8" s="27" t="s">
        <v>1213</v>
      </c>
      <c r="AA8" s="27" t="s">
        <v>100</v>
      </c>
      <c r="AB8" s="27" t="s">
        <v>439</v>
      </c>
      <c r="AC8" s="27" t="s">
        <v>1214</v>
      </c>
      <c r="AD8" s="27" t="s">
        <v>100</v>
      </c>
      <c r="AE8" s="27" t="s">
        <v>439</v>
      </c>
      <c r="AF8" s="27" t="s">
        <v>1215</v>
      </c>
      <c r="AG8" s="27" t="s">
        <v>104</v>
      </c>
      <c r="AH8" s="27" t="s">
        <v>1216</v>
      </c>
      <c r="AI8" s="27" t="s">
        <v>1217</v>
      </c>
      <c r="AJ8" s="27" t="s">
        <v>1218</v>
      </c>
      <c r="AK8" s="27" t="s">
        <v>1219</v>
      </c>
      <c r="AL8" s="27" t="s">
        <v>208</v>
      </c>
      <c r="AM8" s="27"/>
      <c r="AN8" s="27"/>
      <c r="AO8" s="27" t="s">
        <v>1220</v>
      </c>
      <c r="AP8" s="27" t="s">
        <v>208</v>
      </c>
      <c r="AQ8" s="27"/>
      <c r="AR8" s="27"/>
      <c r="AS8" s="27"/>
      <c r="AT8" s="27"/>
      <c r="AU8" s="27"/>
      <c r="AV8" s="27"/>
      <c r="AW8" s="27" t="s">
        <v>1221</v>
      </c>
      <c r="AX8" s="27" t="s">
        <v>1222</v>
      </c>
      <c r="AY8" s="27" t="s">
        <v>115</v>
      </c>
    </row>
    <row r="9" spans="1:51" x14ac:dyDescent="0.2">
      <c r="A9" s="24" t="s">
        <v>1223</v>
      </c>
      <c r="B9" s="24" t="s">
        <v>1224</v>
      </c>
      <c r="C9" s="24"/>
      <c r="D9" s="24" t="s">
        <v>87</v>
      </c>
      <c r="E9" s="25">
        <v>390411936</v>
      </c>
      <c r="F9" s="25">
        <v>200000</v>
      </c>
      <c r="G9" s="26">
        <v>23</v>
      </c>
      <c r="H9" s="26">
        <v>266</v>
      </c>
      <c r="I9" s="24" t="s">
        <v>270</v>
      </c>
      <c r="J9" s="24" t="s">
        <v>89</v>
      </c>
      <c r="K9" s="24" t="s">
        <v>1225</v>
      </c>
      <c r="L9" s="24" t="s">
        <v>1226</v>
      </c>
      <c r="M9" s="24" t="s">
        <v>1227</v>
      </c>
      <c r="N9" s="26">
        <v>0</v>
      </c>
      <c r="O9" s="24" t="s">
        <v>1228</v>
      </c>
      <c r="P9" s="24" t="s">
        <v>317</v>
      </c>
      <c r="Q9" s="24"/>
      <c r="R9" s="24" t="s">
        <v>1229</v>
      </c>
      <c r="S9" s="24" t="s">
        <v>1230</v>
      </c>
      <c r="T9" s="24" t="s">
        <v>21</v>
      </c>
      <c r="U9" s="24" t="s">
        <v>1231</v>
      </c>
      <c r="V9" s="24" t="s">
        <v>1232</v>
      </c>
      <c r="W9" s="24" t="s">
        <v>1233</v>
      </c>
      <c r="X9" s="24" t="s">
        <v>100</v>
      </c>
      <c r="Y9" s="24" t="s">
        <v>1232</v>
      </c>
      <c r="Z9" s="24" t="s">
        <v>1234</v>
      </c>
      <c r="AA9" s="24" t="s">
        <v>100</v>
      </c>
      <c r="AB9" s="24" t="s">
        <v>1232</v>
      </c>
      <c r="AC9" s="24" t="s">
        <v>1235</v>
      </c>
      <c r="AD9" s="24" t="s">
        <v>100</v>
      </c>
      <c r="AE9" s="24" t="s">
        <v>1232</v>
      </c>
      <c r="AF9" s="24" t="s">
        <v>1236</v>
      </c>
      <c r="AG9" s="24" t="s">
        <v>104</v>
      </c>
      <c r="AH9" s="24" t="s">
        <v>1237</v>
      </c>
      <c r="AI9" s="24" t="s">
        <v>1238</v>
      </c>
      <c r="AJ9" s="24"/>
      <c r="AK9" s="24" t="s">
        <v>1239</v>
      </c>
      <c r="AL9" s="24" t="s">
        <v>133</v>
      </c>
      <c r="AM9" s="24" t="s">
        <v>1232</v>
      </c>
      <c r="AN9" s="24" t="s">
        <v>1240</v>
      </c>
      <c r="AO9" s="24"/>
      <c r="AP9" s="24"/>
      <c r="AQ9" s="24"/>
      <c r="AR9" s="24"/>
      <c r="AS9" s="24"/>
      <c r="AT9" s="24"/>
      <c r="AU9" s="24"/>
      <c r="AV9" s="24"/>
      <c r="AW9" s="24" t="s">
        <v>1241</v>
      </c>
      <c r="AX9" s="24" t="s">
        <v>1242</v>
      </c>
      <c r="AY9" s="24" t="s">
        <v>115</v>
      </c>
    </row>
    <row r="10" spans="1:51" x14ac:dyDescent="0.2">
      <c r="A10" s="27" t="s">
        <v>1243</v>
      </c>
      <c r="B10" s="27" t="s">
        <v>1244</v>
      </c>
      <c r="C10" s="27"/>
      <c r="D10" s="27" t="s">
        <v>87</v>
      </c>
      <c r="E10" s="28">
        <v>376784096</v>
      </c>
      <c r="F10" s="28">
        <v>7500000</v>
      </c>
      <c r="G10" s="29">
        <v>492</v>
      </c>
      <c r="H10" s="29">
        <v>924</v>
      </c>
      <c r="I10" s="27" t="s">
        <v>88</v>
      </c>
      <c r="J10" s="27" t="s">
        <v>89</v>
      </c>
      <c r="K10" s="27" t="s">
        <v>90</v>
      </c>
      <c r="L10" s="27" t="s">
        <v>91</v>
      </c>
      <c r="M10" s="27" t="s">
        <v>1245</v>
      </c>
      <c r="N10" s="29">
        <v>2</v>
      </c>
      <c r="O10" s="27" t="s">
        <v>1246</v>
      </c>
      <c r="P10" s="27" t="s">
        <v>1247</v>
      </c>
      <c r="Q10" s="27"/>
      <c r="R10" s="27" t="s">
        <v>850</v>
      </c>
      <c r="S10" s="27" t="s">
        <v>1248</v>
      </c>
      <c r="T10" s="27" t="s">
        <v>28</v>
      </c>
      <c r="U10" s="27" t="s">
        <v>1249</v>
      </c>
      <c r="V10" s="27" t="s">
        <v>394</v>
      </c>
      <c r="W10" s="27" t="s">
        <v>1250</v>
      </c>
      <c r="X10" s="27" t="s">
        <v>100</v>
      </c>
      <c r="Y10" s="27" t="s">
        <v>394</v>
      </c>
      <c r="Z10" s="27" t="s">
        <v>1251</v>
      </c>
      <c r="AA10" s="27" t="s">
        <v>100</v>
      </c>
      <c r="AB10" s="27" t="s">
        <v>394</v>
      </c>
      <c r="AC10" s="27" t="s">
        <v>1252</v>
      </c>
      <c r="AD10" s="27" t="s">
        <v>100</v>
      </c>
      <c r="AE10" s="27" t="s">
        <v>394</v>
      </c>
      <c r="AF10" s="27" t="s">
        <v>1253</v>
      </c>
      <c r="AG10" s="27" t="s">
        <v>104</v>
      </c>
      <c r="AH10" s="27" t="s">
        <v>1254</v>
      </c>
      <c r="AI10" s="27" t="s">
        <v>1255</v>
      </c>
      <c r="AJ10" s="27" t="s">
        <v>1256</v>
      </c>
      <c r="AK10" s="27" t="s">
        <v>1257</v>
      </c>
      <c r="AL10" s="27" t="s">
        <v>163</v>
      </c>
      <c r="AM10" s="27"/>
      <c r="AN10" s="27"/>
      <c r="AO10" s="27" t="s">
        <v>1258</v>
      </c>
      <c r="AP10" s="27" t="s">
        <v>163</v>
      </c>
      <c r="AQ10" s="27" t="s">
        <v>394</v>
      </c>
      <c r="AR10" s="27" t="s">
        <v>1259</v>
      </c>
      <c r="AS10" s="27" t="s">
        <v>1260</v>
      </c>
      <c r="AT10" s="27" t="s">
        <v>163</v>
      </c>
      <c r="AU10" s="27" t="s">
        <v>394</v>
      </c>
      <c r="AV10" s="27" t="s">
        <v>1261</v>
      </c>
      <c r="AW10" s="27" t="s">
        <v>1262</v>
      </c>
      <c r="AX10" s="27" t="s">
        <v>1263</v>
      </c>
      <c r="AY10" s="27" t="s">
        <v>115</v>
      </c>
    </row>
    <row r="11" spans="1:51" x14ac:dyDescent="0.2">
      <c r="A11" s="24" t="s">
        <v>1264</v>
      </c>
      <c r="B11" s="24" t="s">
        <v>1265</v>
      </c>
      <c r="C11" s="24" t="s">
        <v>1266</v>
      </c>
      <c r="D11" s="24" t="s">
        <v>87</v>
      </c>
      <c r="E11" s="25">
        <v>366516625</v>
      </c>
      <c r="F11" s="25">
        <v>5000000</v>
      </c>
      <c r="G11" s="26">
        <v>451</v>
      </c>
      <c r="H11" s="26">
        <v>819</v>
      </c>
      <c r="I11" s="24" t="s">
        <v>88</v>
      </c>
      <c r="J11" s="24" t="s">
        <v>89</v>
      </c>
      <c r="K11" s="24" t="s">
        <v>1225</v>
      </c>
      <c r="L11" s="24" t="s">
        <v>1226</v>
      </c>
      <c r="M11" s="24" t="s">
        <v>1267</v>
      </c>
      <c r="N11" s="26">
        <v>2</v>
      </c>
      <c r="O11" s="24" t="s">
        <v>1268</v>
      </c>
      <c r="P11" s="24"/>
      <c r="Q11" s="24"/>
      <c r="R11" s="24" t="s">
        <v>149</v>
      </c>
      <c r="S11" s="24" t="s">
        <v>1269</v>
      </c>
      <c r="T11" s="24" t="s">
        <v>21</v>
      </c>
      <c r="U11" s="24" t="s">
        <v>1270</v>
      </c>
      <c r="V11" s="24" t="s">
        <v>1232</v>
      </c>
      <c r="W11" s="24" t="s">
        <v>1271</v>
      </c>
      <c r="X11" s="24" t="s">
        <v>100</v>
      </c>
      <c r="Y11" s="24" t="s">
        <v>1232</v>
      </c>
      <c r="Z11" s="24" t="s">
        <v>1272</v>
      </c>
      <c r="AA11" s="24" t="s">
        <v>100</v>
      </c>
      <c r="AB11" s="24" t="s">
        <v>1232</v>
      </c>
      <c r="AC11" s="24" t="s">
        <v>1273</v>
      </c>
      <c r="AD11" s="24" t="s">
        <v>100</v>
      </c>
      <c r="AE11" s="24" t="s">
        <v>1232</v>
      </c>
      <c r="AF11" s="24" t="s">
        <v>1274</v>
      </c>
      <c r="AG11" s="24" t="s">
        <v>104</v>
      </c>
      <c r="AH11" s="24" t="s">
        <v>1275</v>
      </c>
      <c r="AI11" s="24" t="s">
        <v>1276</v>
      </c>
      <c r="AJ11" s="24" t="s">
        <v>1277</v>
      </c>
      <c r="AK11" s="24" t="s">
        <v>1278</v>
      </c>
      <c r="AL11" s="24" t="s">
        <v>109</v>
      </c>
      <c r="AM11" s="24" t="s">
        <v>1232</v>
      </c>
      <c r="AN11" s="24" t="s">
        <v>1279</v>
      </c>
      <c r="AO11" s="24" t="s">
        <v>1280</v>
      </c>
      <c r="AP11" s="24" t="s">
        <v>185</v>
      </c>
      <c r="AQ11" s="24" t="s">
        <v>1281</v>
      </c>
      <c r="AR11" s="24" t="s">
        <v>1282</v>
      </c>
      <c r="AS11" s="24"/>
      <c r="AT11" s="24"/>
      <c r="AU11" s="24"/>
      <c r="AV11" s="24"/>
      <c r="AW11" s="24" t="s">
        <v>1283</v>
      </c>
      <c r="AX11" s="24" t="s">
        <v>1284</v>
      </c>
      <c r="AY11" s="24" t="s">
        <v>290</v>
      </c>
    </row>
    <row r="12" spans="1:51" x14ac:dyDescent="0.2">
      <c r="A12" s="27" t="s">
        <v>1285</v>
      </c>
      <c r="B12" s="27" t="s">
        <v>1286</v>
      </c>
      <c r="C12" s="27"/>
      <c r="D12" s="27" t="s">
        <v>87</v>
      </c>
      <c r="E12" s="28">
        <v>349271690</v>
      </c>
      <c r="F12" s="28">
        <v>16000000</v>
      </c>
      <c r="G12" s="29"/>
      <c r="H12" s="29">
        <v>864</v>
      </c>
      <c r="I12" s="27" t="s">
        <v>88</v>
      </c>
      <c r="J12" s="27" t="s">
        <v>89</v>
      </c>
      <c r="K12" s="27" t="s">
        <v>192</v>
      </c>
      <c r="L12" s="27" t="s">
        <v>193</v>
      </c>
      <c r="M12" s="27" t="s">
        <v>1287</v>
      </c>
      <c r="N12" s="29">
        <v>2</v>
      </c>
      <c r="O12" s="27" t="s">
        <v>1288</v>
      </c>
      <c r="P12" s="27" t="s">
        <v>1289</v>
      </c>
      <c r="Q12" s="27" t="s">
        <v>1290</v>
      </c>
      <c r="R12" s="27" t="s">
        <v>1291</v>
      </c>
      <c r="S12" s="27" t="s">
        <v>342</v>
      </c>
      <c r="T12" s="27" t="s">
        <v>31</v>
      </c>
      <c r="U12" s="27" t="s">
        <v>1292</v>
      </c>
      <c r="V12" s="27" t="s">
        <v>98</v>
      </c>
      <c r="W12" s="27" t="s">
        <v>1293</v>
      </c>
      <c r="X12" s="27" t="s">
        <v>104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 t="s">
        <v>1294</v>
      </c>
      <c r="AI12" s="27"/>
      <c r="AJ12" s="27"/>
      <c r="AK12" s="27" t="s">
        <v>1295</v>
      </c>
      <c r="AL12" s="27" t="s">
        <v>109</v>
      </c>
      <c r="AM12" s="27" t="s">
        <v>98</v>
      </c>
      <c r="AN12" s="27" t="s">
        <v>1296</v>
      </c>
      <c r="AO12" s="27" t="s">
        <v>1297</v>
      </c>
      <c r="AP12" s="27" t="s">
        <v>109</v>
      </c>
      <c r="AQ12" s="27" t="s">
        <v>98</v>
      </c>
      <c r="AR12" s="27" t="s">
        <v>1298</v>
      </c>
      <c r="AS12" s="27" t="s">
        <v>1299</v>
      </c>
      <c r="AT12" s="27" t="s">
        <v>109</v>
      </c>
      <c r="AU12" s="27" t="s">
        <v>1300</v>
      </c>
      <c r="AV12" s="27" t="s">
        <v>1301</v>
      </c>
      <c r="AW12" s="27" t="s">
        <v>1302</v>
      </c>
      <c r="AX12" s="27" t="s">
        <v>1303</v>
      </c>
      <c r="AY12" s="27" t="s">
        <v>115</v>
      </c>
    </row>
    <row r="13" spans="1:51" x14ac:dyDescent="0.2">
      <c r="A13" s="24" t="s">
        <v>1304</v>
      </c>
      <c r="B13" s="24" t="s">
        <v>1305</v>
      </c>
      <c r="C13" s="24"/>
      <c r="D13" s="24" t="s">
        <v>87</v>
      </c>
      <c r="E13" s="25">
        <v>333279123</v>
      </c>
      <c r="F13" s="25">
        <v>4520000</v>
      </c>
      <c r="G13" s="26"/>
      <c r="H13" s="26">
        <v>927</v>
      </c>
      <c r="I13" s="24" t="s">
        <v>88</v>
      </c>
      <c r="J13" s="24" t="s">
        <v>89</v>
      </c>
      <c r="K13" s="24" t="s">
        <v>244</v>
      </c>
      <c r="L13" s="24" t="s">
        <v>245</v>
      </c>
      <c r="M13" s="24" t="s">
        <v>1306</v>
      </c>
      <c r="N13" s="26">
        <v>2</v>
      </c>
      <c r="O13" s="24" t="s">
        <v>1307</v>
      </c>
      <c r="P13" s="24" t="s">
        <v>1308</v>
      </c>
      <c r="Q13" s="24" t="s">
        <v>1309</v>
      </c>
      <c r="R13" s="24" t="s">
        <v>1310</v>
      </c>
      <c r="S13" s="24" t="s">
        <v>342</v>
      </c>
      <c r="T13" s="24" t="s">
        <v>31</v>
      </c>
      <c r="U13" s="24" t="s">
        <v>1311</v>
      </c>
      <c r="V13" s="24" t="s">
        <v>98</v>
      </c>
      <c r="W13" s="24" t="s">
        <v>1312</v>
      </c>
      <c r="X13" s="24" t="s">
        <v>104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 t="s">
        <v>1313</v>
      </c>
      <c r="AI13" s="24"/>
      <c r="AJ13" s="24"/>
      <c r="AK13" s="24" t="s">
        <v>1314</v>
      </c>
      <c r="AL13" s="24" t="s">
        <v>185</v>
      </c>
      <c r="AM13" s="24" t="s">
        <v>599</v>
      </c>
      <c r="AN13" s="24" t="s">
        <v>1315</v>
      </c>
      <c r="AO13" s="24" t="s">
        <v>1316</v>
      </c>
      <c r="AP13" s="24" t="s">
        <v>109</v>
      </c>
      <c r="AQ13" s="24" t="s">
        <v>941</v>
      </c>
      <c r="AR13" s="24" t="s">
        <v>1317</v>
      </c>
      <c r="AS13" s="24"/>
      <c r="AT13" s="24"/>
      <c r="AU13" s="24"/>
      <c r="AV13" s="24"/>
      <c r="AW13" s="24"/>
      <c r="AX13" s="24" t="s">
        <v>1318</v>
      </c>
      <c r="AY13" s="24" t="s">
        <v>115</v>
      </c>
    </row>
    <row r="14" spans="1:51" x14ac:dyDescent="0.2">
      <c r="A14" s="27" t="s">
        <v>1319</v>
      </c>
      <c r="B14" s="27" t="s">
        <v>1320</v>
      </c>
      <c r="C14" s="27" t="s">
        <v>1321</v>
      </c>
      <c r="D14" s="27" t="s">
        <v>87</v>
      </c>
      <c r="E14" s="28">
        <v>325942078</v>
      </c>
      <c r="F14" s="28">
        <v>2087000</v>
      </c>
      <c r="G14" s="29">
        <v>417</v>
      </c>
      <c r="H14" s="29">
        <v>358</v>
      </c>
      <c r="I14" s="27" t="s">
        <v>219</v>
      </c>
      <c r="J14" s="27" t="s">
        <v>89</v>
      </c>
      <c r="K14" s="27" t="s">
        <v>144</v>
      </c>
      <c r="L14" s="27" t="s">
        <v>145</v>
      </c>
      <c r="M14" s="27" t="s">
        <v>1322</v>
      </c>
      <c r="N14" s="29">
        <v>4</v>
      </c>
      <c r="O14" s="27" t="s">
        <v>1323</v>
      </c>
      <c r="P14" s="27" t="s">
        <v>1324</v>
      </c>
      <c r="Q14" s="27"/>
      <c r="R14" s="27" t="s">
        <v>1325</v>
      </c>
      <c r="S14" s="27" t="s">
        <v>1326</v>
      </c>
      <c r="T14" s="27" t="s">
        <v>21</v>
      </c>
      <c r="U14" s="27" t="s">
        <v>1327</v>
      </c>
      <c r="V14" s="27" t="s">
        <v>1328</v>
      </c>
      <c r="W14" s="27" t="s">
        <v>1329</v>
      </c>
      <c r="X14" s="27" t="s">
        <v>100</v>
      </c>
      <c r="Y14" s="27" t="s">
        <v>1328</v>
      </c>
      <c r="Z14" s="27" t="s">
        <v>1330</v>
      </c>
      <c r="AA14" s="27" t="s">
        <v>100</v>
      </c>
      <c r="AB14" s="27" t="s">
        <v>1328</v>
      </c>
      <c r="AC14" s="27" t="s">
        <v>1331</v>
      </c>
      <c r="AD14" s="27" t="s">
        <v>100</v>
      </c>
      <c r="AE14" s="27" t="s">
        <v>1328</v>
      </c>
      <c r="AF14" s="27" t="s">
        <v>1332</v>
      </c>
      <c r="AG14" s="27" t="s">
        <v>104</v>
      </c>
      <c r="AH14" s="27" t="s">
        <v>1333</v>
      </c>
      <c r="AI14" s="27" t="s">
        <v>1334</v>
      </c>
      <c r="AJ14" s="27" t="s">
        <v>1335</v>
      </c>
      <c r="AK14" s="27" t="s">
        <v>1336</v>
      </c>
      <c r="AL14" s="27" t="s">
        <v>133</v>
      </c>
      <c r="AM14" s="27" t="s">
        <v>1328</v>
      </c>
      <c r="AN14" s="27" t="s">
        <v>1337</v>
      </c>
      <c r="AO14" s="27" t="s">
        <v>1338</v>
      </c>
      <c r="AP14" s="27" t="s">
        <v>133</v>
      </c>
      <c r="AQ14" s="27" t="s">
        <v>1328</v>
      </c>
      <c r="AR14" s="27" t="s">
        <v>1339</v>
      </c>
      <c r="AS14" s="27"/>
      <c r="AT14" s="27"/>
      <c r="AU14" s="27"/>
      <c r="AV14" s="27"/>
      <c r="AW14" s="27" t="s">
        <v>1340</v>
      </c>
      <c r="AX14" s="27" t="s">
        <v>1341</v>
      </c>
      <c r="AY14" s="27" t="s">
        <v>115</v>
      </c>
    </row>
    <row r="15" spans="1:51" x14ac:dyDescent="0.2">
      <c r="A15" s="24" t="s">
        <v>1342</v>
      </c>
      <c r="B15" s="24" t="s">
        <v>1343</v>
      </c>
      <c r="C15" s="24"/>
      <c r="D15" s="24" t="s">
        <v>87</v>
      </c>
      <c r="E15" s="25">
        <v>303171782</v>
      </c>
      <c r="F15" s="25">
        <v>5000000</v>
      </c>
      <c r="G15" s="26">
        <v>331</v>
      </c>
      <c r="H15" s="26">
        <v>701</v>
      </c>
      <c r="I15" s="24" t="s">
        <v>88</v>
      </c>
      <c r="J15" s="24" t="s">
        <v>89</v>
      </c>
      <c r="K15" s="24" t="s">
        <v>168</v>
      </c>
      <c r="L15" s="24" t="s">
        <v>169</v>
      </c>
      <c r="M15" s="24" t="s">
        <v>1344</v>
      </c>
      <c r="N15" s="26">
        <v>1</v>
      </c>
      <c r="O15" s="24" t="s">
        <v>1345</v>
      </c>
      <c r="P15" s="24" t="s">
        <v>549</v>
      </c>
      <c r="Q15" s="24" t="s">
        <v>1346</v>
      </c>
      <c r="R15" s="24" t="s">
        <v>1347</v>
      </c>
      <c r="S15" s="24" t="s">
        <v>174</v>
      </c>
      <c r="T15" s="24" t="s">
        <v>21</v>
      </c>
      <c r="U15" s="24" t="s">
        <v>1348</v>
      </c>
      <c r="V15" s="24" t="s">
        <v>176</v>
      </c>
      <c r="W15" s="24" t="s">
        <v>1349</v>
      </c>
      <c r="X15" s="24" t="s">
        <v>100</v>
      </c>
      <c r="Y15" s="24" t="s">
        <v>176</v>
      </c>
      <c r="Z15" s="24" t="s">
        <v>1350</v>
      </c>
      <c r="AA15" s="24" t="s">
        <v>100</v>
      </c>
      <c r="AB15" s="24" t="s">
        <v>176</v>
      </c>
      <c r="AC15" s="24" t="s">
        <v>1351</v>
      </c>
      <c r="AD15" s="24" t="s">
        <v>100</v>
      </c>
      <c r="AE15" s="24" t="s">
        <v>176</v>
      </c>
      <c r="AF15" s="24" t="s">
        <v>1352</v>
      </c>
      <c r="AG15" s="24" t="s">
        <v>104</v>
      </c>
      <c r="AH15" s="24" t="s">
        <v>1353</v>
      </c>
      <c r="AI15" s="24" t="s">
        <v>1354</v>
      </c>
      <c r="AJ15" s="24" t="s">
        <v>1355</v>
      </c>
      <c r="AK15" s="24" t="s">
        <v>1356</v>
      </c>
      <c r="AL15" s="24" t="s">
        <v>133</v>
      </c>
      <c r="AM15" s="24" t="s">
        <v>176</v>
      </c>
      <c r="AN15" s="24" t="s">
        <v>1357</v>
      </c>
      <c r="AO15" s="24" t="s">
        <v>1358</v>
      </c>
      <c r="AP15" s="24" t="s">
        <v>163</v>
      </c>
      <c r="AQ15" s="24" t="s">
        <v>176</v>
      </c>
      <c r="AR15" s="24" t="s">
        <v>1352</v>
      </c>
      <c r="AS15" s="24" t="s">
        <v>1359</v>
      </c>
      <c r="AT15" s="24" t="s">
        <v>136</v>
      </c>
      <c r="AU15" s="24" t="s">
        <v>176</v>
      </c>
      <c r="AV15" s="24" t="s">
        <v>1360</v>
      </c>
      <c r="AW15" s="24" t="s">
        <v>1361</v>
      </c>
      <c r="AX15" s="24" t="s">
        <v>1362</v>
      </c>
      <c r="AY15" s="24" t="s">
        <v>115</v>
      </c>
    </row>
    <row r="16" spans="1:51" x14ac:dyDescent="0.2">
      <c r="A16" s="27" t="s">
        <v>1363</v>
      </c>
      <c r="B16" s="27" t="s">
        <v>1364</v>
      </c>
      <c r="C16" s="27" t="s">
        <v>1365</v>
      </c>
      <c r="D16" s="27" t="s">
        <v>431</v>
      </c>
      <c r="E16" s="28">
        <v>286908483</v>
      </c>
      <c r="F16" s="28">
        <v>108045908</v>
      </c>
      <c r="G16" s="29">
        <v>123</v>
      </c>
      <c r="H16" s="29">
        <v>394</v>
      </c>
      <c r="I16" s="27" t="s">
        <v>219</v>
      </c>
      <c r="J16" s="27" t="s">
        <v>89</v>
      </c>
      <c r="K16" s="27" t="s">
        <v>90</v>
      </c>
      <c r="L16" s="27" t="s">
        <v>91</v>
      </c>
      <c r="M16" s="27" t="s">
        <v>1366</v>
      </c>
      <c r="N16" s="29">
        <v>0</v>
      </c>
      <c r="O16" s="27" t="s">
        <v>1367</v>
      </c>
      <c r="P16" s="27" t="s">
        <v>1368</v>
      </c>
      <c r="Q16" s="27" t="s">
        <v>1369</v>
      </c>
      <c r="R16" s="27" t="s">
        <v>149</v>
      </c>
      <c r="S16" s="27" t="s">
        <v>1370</v>
      </c>
      <c r="T16" s="27" t="s">
        <v>31</v>
      </c>
      <c r="U16" s="27" t="s">
        <v>1371</v>
      </c>
      <c r="V16" s="27" t="s">
        <v>352</v>
      </c>
      <c r="W16" s="27" t="s">
        <v>1372</v>
      </c>
      <c r="X16" s="27" t="s">
        <v>100</v>
      </c>
      <c r="Y16" s="27" t="s">
        <v>98</v>
      </c>
      <c r="Z16" s="27" t="s">
        <v>1373</v>
      </c>
      <c r="AA16" s="27" t="s">
        <v>100</v>
      </c>
      <c r="AB16" s="27" t="s">
        <v>98</v>
      </c>
      <c r="AC16" s="27" t="s">
        <v>1374</v>
      </c>
      <c r="AD16" s="27" t="s">
        <v>104</v>
      </c>
      <c r="AE16" s="27"/>
      <c r="AF16" s="27"/>
      <c r="AG16" s="27"/>
      <c r="AH16" s="27" t="s">
        <v>1375</v>
      </c>
      <c r="AI16" s="27"/>
      <c r="AJ16" s="27"/>
      <c r="AK16" s="27" t="s">
        <v>1376</v>
      </c>
      <c r="AL16" s="27" t="s">
        <v>133</v>
      </c>
      <c r="AM16" s="27" t="s">
        <v>98</v>
      </c>
      <c r="AN16" s="27" t="s">
        <v>1377</v>
      </c>
      <c r="AO16" s="27"/>
      <c r="AP16" s="27"/>
      <c r="AQ16" s="27"/>
      <c r="AR16" s="27"/>
      <c r="AS16" s="27"/>
      <c r="AT16" s="27"/>
      <c r="AU16" s="27"/>
      <c r="AV16" s="27"/>
      <c r="AW16" s="27" t="s">
        <v>1378</v>
      </c>
      <c r="AX16" s="27" t="s">
        <v>1379</v>
      </c>
      <c r="AY16" s="27" t="s">
        <v>290</v>
      </c>
    </row>
    <row r="17" spans="1:51" x14ac:dyDescent="0.2">
      <c r="A17" s="24" t="s">
        <v>1380</v>
      </c>
      <c r="B17" s="24" t="s">
        <v>1381</v>
      </c>
      <c r="C17" s="24" t="s">
        <v>1382</v>
      </c>
      <c r="D17" s="24" t="s">
        <v>87</v>
      </c>
      <c r="E17" s="25">
        <v>280086450</v>
      </c>
      <c r="F17" s="25">
        <v>372833830</v>
      </c>
      <c r="G17" s="26"/>
      <c r="H17" s="26">
        <v>643</v>
      </c>
      <c r="I17" s="24" t="s">
        <v>143</v>
      </c>
      <c r="J17" s="24" t="s">
        <v>89</v>
      </c>
      <c r="K17" s="24" t="s">
        <v>336</v>
      </c>
      <c r="L17" s="24" t="s">
        <v>337</v>
      </c>
      <c r="M17" s="24" t="s">
        <v>1383</v>
      </c>
      <c r="N17" s="26">
        <v>8</v>
      </c>
      <c r="O17" s="24" t="s">
        <v>993</v>
      </c>
      <c r="P17" s="24" t="s">
        <v>1384</v>
      </c>
      <c r="Q17" s="24" t="s">
        <v>1385</v>
      </c>
      <c r="R17" s="24" t="s">
        <v>996</v>
      </c>
      <c r="S17" s="24" t="s">
        <v>997</v>
      </c>
      <c r="T17" s="24" t="s">
        <v>31</v>
      </c>
      <c r="U17" s="24" t="s">
        <v>998</v>
      </c>
      <c r="V17" s="24" t="s">
        <v>98</v>
      </c>
      <c r="W17" s="24" t="s">
        <v>1386</v>
      </c>
      <c r="X17" s="24" t="s">
        <v>100</v>
      </c>
      <c r="Y17" s="24" t="s">
        <v>98</v>
      </c>
      <c r="Z17" s="24" t="s">
        <v>1387</v>
      </c>
      <c r="AA17" s="24" t="s">
        <v>100</v>
      </c>
      <c r="AB17" s="24" t="s">
        <v>98</v>
      </c>
      <c r="AC17" s="24" t="s">
        <v>1388</v>
      </c>
      <c r="AD17" s="24" t="s">
        <v>100</v>
      </c>
      <c r="AE17" s="24" t="s">
        <v>98</v>
      </c>
      <c r="AF17" s="24" t="s">
        <v>1389</v>
      </c>
      <c r="AG17" s="24" t="s">
        <v>104</v>
      </c>
      <c r="AH17" s="24" t="s">
        <v>1390</v>
      </c>
      <c r="AI17" s="24"/>
      <c r="AJ17" s="24"/>
      <c r="AK17" s="24" t="s">
        <v>1391</v>
      </c>
      <c r="AL17" s="24" t="s">
        <v>237</v>
      </c>
      <c r="AM17" s="24"/>
      <c r="AN17" s="24"/>
      <c r="AO17" s="24" t="s">
        <v>1392</v>
      </c>
      <c r="AP17" s="24" t="s">
        <v>136</v>
      </c>
      <c r="AQ17" s="24" t="s">
        <v>416</v>
      </c>
      <c r="AR17" s="24" t="s">
        <v>1393</v>
      </c>
      <c r="AS17" s="24" t="s">
        <v>1394</v>
      </c>
      <c r="AT17" s="24" t="s">
        <v>136</v>
      </c>
      <c r="AU17" s="24" t="s">
        <v>98</v>
      </c>
      <c r="AV17" s="24" t="s">
        <v>1395</v>
      </c>
      <c r="AW17" s="24" t="s">
        <v>1396</v>
      </c>
      <c r="AX17" s="24" t="s">
        <v>1397</v>
      </c>
      <c r="AY17" s="24" t="s">
        <v>115</v>
      </c>
    </row>
    <row r="18" spans="1:51" x14ac:dyDescent="0.2">
      <c r="A18" s="27" t="s">
        <v>1398</v>
      </c>
      <c r="B18" s="27" t="s">
        <v>1399</v>
      </c>
      <c r="C18" s="27"/>
      <c r="D18" s="27" t="s">
        <v>87</v>
      </c>
      <c r="E18" s="28">
        <v>274615711</v>
      </c>
      <c r="F18" s="28">
        <v>15000000</v>
      </c>
      <c r="G18" s="29">
        <v>744</v>
      </c>
      <c r="H18" s="29">
        <v>903</v>
      </c>
      <c r="I18" s="27" t="s">
        <v>88</v>
      </c>
      <c r="J18" s="27" t="s">
        <v>89</v>
      </c>
      <c r="K18" s="27" t="s">
        <v>144</v>
      </c>
      <c r="L18" s="27" t="s">
        <v>145</v>
      </c>
      <c r="M18" s="27" t="s">
        <v>1400</v>
      </c>
      <c r="N18" s="29">
        <v>1</v>
      </c>
      <c r="O18" s="27" t="s">
        <v>1401</v>
      </c>
      <c r="P18" s="27"/>
      <c r="Q18" s="27" t="s">
        <v>1402</v>
      </c>
      <c r="R18" s="27"/>
      <c r="S18" s="27" t="s">
        <v>1403</v>
      </c>
      <c r="T18" s="27" t="s">
        <v>31</v>
      </c>
      <c r="U18" s="27" t="s">
        <v>1404</v>
      </c>
      <c r="V18" s="27" t="s">
        <v>1021</v>
      </c>
      <c r="W18" s="27" t="s">
        <v>1405</v>
      </c>
      <c r="X18" s="27" t="s">
        <v>100</v>
      </c>
      <c r="Y18" s="27" t="s">
        <v>1021</v>
      </c>
      <c r="Z18" s="27" t="s">
        <v>1406</v>
      </c>
      <c r="AA18" s="27" t="s">
        <v>100</v>
      </c>
      <c r="AB18" s="27" t="s">
        <v>1021</v>
      </c>
      <c r="AC18" s="27" t="s">
        <v>1407</v>
      </c>
      <c r="AD18" s="27" t="s">
        <v>100</v>
      </c>
      <c r="AE18" s="27" t="s">
        <v>1021</v>
      </c>
      <c r="AF18" s="27" t="s">
        <v>1408</v>
      </c>
      <c r="AG18" s="27" t="s">
        <v>104</v>
      </c>
      <c r="AH18" s="27" t="s">
        <v>1409</v>
      </c>
      <c r="AI18" s="27" t="s">
        <v>1410</v>
      </c>
      <c r="AJ18" s="27" t="s">
        <v>1411</v>
      </c>
      <c r="AK18" s="27" t="s">
        <v>1412</v>
      </c>
      <c r="AL18" s="27" t="s">
        <v>133</v>
      </c>
      <c r="AM18" s="27"/>
      <c r="AN18" s="27"/>
      <c r="AO18" s="27" t="s">
        <v>1413</v>
      </c>
      <c r="AP18" s="27" t="s">
        <v>133</v>
      </c>
      <c r="AQ18" s="27" t="s">
        <v>1021</v>
      </c>
      <c r="AR18" s="27" t="s">
        <v>1414</v>
      </c>
      <c r="AS18" s="27" t="s">
        <v>1415</v>
      </c>
      <c r="AT18" s="27" t="s">
        <v>133</v>
      </c>
      <c r="AU18" s="27" t="s">
        <v>1021</v>
      </c>
      <c r="AV18" s="27" t="s">
        <v>1416</v>
      </c>
      <c r="AW18" s="27" t="s">
        <v>1417</v>
      </c>
      <c r="AX18" s="27" t="s">
        <v>1418</v>
      </c>
      <c r="AY18" s="27" t="s">
        <v>115</v>
      </c>
    </row>
    <row r="19" spans="1:51" x14ac:dyDescent="0.2">
      <c r="A19" s="24" t="s">
        <v>1419</v>
      </c>
      <c r="B19" s="24" t="s">
        <v>1420</v>
      </c>
      <c r="C19" s="24"/>
      <c r="D19" s="24" t="s">
        <v>87</v>
      </c>
      <c r="E19" s="25">
        <v>272828307</v>
      </c>
      <c r="F19" s="25">
        <v>80000000</v>
      </c>
      <c r="G19" s="26">
        <v>91</v>
      </c>
      <c r="H19" s="26">
        <v>861</v>
      </c>
      <c r="I19" s="24" t="s">
        <v>88</v>
      </c>
      <c r="J19" s="24" t="s">
        <v>89</v>
      </c>
      <c r="K19" s="24" t="s">
        <v>336</v>
      </c>
      <c r="L19" s="24" t="s">
        <v>337</v>
      </c>
      <c r="M19" s="24" t="s">
        <v>1421</v>
      </c>
      <c r="N19" s="26">
        <v>13</v>
      </c>
      <c r="O19" s="24" t="s">
        <v>1422</v>
      </c>
      <c r="P19" s="24" t="s">
        <v>1423</v>
      </c>
      <c r="Q19" s="24"/>
      <c r="R19" s="24" t="s">
        <v>1424</v>
      </c>
      <c r="S19" s="24" t="s">
        <v>301</v>
      </c>
      <c r="T19" s="24" t="s">
        <v>31</v>
      </c>
      <c r="U19" s="24" t="s">
        <v>1425</v>
      </c>
      <c r="V19" s="24" t="s">
        <v>1123</v>
      </c>
      <c r="W19" s="24" t="s">
        <v>1426</v>
      </c>
      <c r="X19" s="24" t="s">
        <v>100</v>
      </c>
      <c r="Y19" s="24" t="s">
        <v>1123</v>
      </c>
      <c r="Z19" s="24" t="s">
        <v>1427</v>
      </c>
      <c r="AA19" s="24" t="s">
        <v>100</v>
      </c>
      <c r="AB19" s="24" t="s">
        <v>1123</v>
      </c>
      <c r="AC19" s="24" t="s">
        <v>1428</v>
      </c>
      <c r="AD19" s="24" t="s">
        <v>100</v>
      </c>
      <c r="AE19" s="24" t="s">
        <v>98</v>
      </c>
      <c r="AF19" s="24" t="s">
        <v>1429</v>
      </c>
      <c r="AG19" s="24" t="s">
        <v>104</v>
      </c>
      <c r="AH19" s="24" t="s">
        <v>1430</v>
      </c>
      <c r="AI19" s="24"/>
      <c r="AJ19" s="24"/>
      <c r="AK19" s="24" t="s">
        <v>1431</v>
      </c>
      <c r="AL19" s="24" t="s">
        <v>109</v>
      </c>
      <c r="AM19" s="24" t="s">
        <v>98</v>
      </c>
      <c r="AN19" s="24" t="s">
        <v>1432</v>
      </c>
      <c r="AO19" s="24" t="s">
        <v>1433</v>
      </c>
      <c r="AP19" s="24" t="s">
        <v>185</v>
      </c>
      <c r="AQ19" s="24" t="s">
        <v>98</v>
      </c>
      <c r="AR19" s="24" t="s">
        <v>1434</v>
      </c>
      <c r="AS19" s="24" t="s">
        <v>1435</v>
      </c>
      <c r="AT19" s="24" t="s">
        <v>109</v>
      </c>
      <c r="AU19" s="24" t="s">
        <v>98</v>
      </c>
      <c r="AV19" s="24" t="s">
        <v>1436</v>
      </c>
      <c r="AW19" s="24"/>
      <c r="AX19" s="24" t="s">
        <v>1437</v>
      </c>
      <c r="AY19" s="24" t="s">
        <v>115</v>
      </c>
    </row>
    <row r="20" spans="1:51" x14ac:dyDescent="0.2">
      <c r="A20" s="27" t="s">
        <v>1438</v>
      </c>
      <c r="B20" s="27" t="s">
        <v>1439</v>
      </c>
      <c r="C20" s="27"/>
      <c r="D20" s="27" t="s">
        <v>431</v>
      </c>
      <c r="E20" s="28">
        <v>264314429</v>
      </c>
      <c r="F20" s="28">
        <v>279083198</v>
      </c>
      <c r="G20" s="29">
        <v>123</v>
      </c>
      <c r="H20" s="29">
        <v>319</v>
      </c>
      <c r="I20" s="27" t="s">
        <v>219</v>
      </c>
      <c r="J20" s="27" t="s">
        <v>89</v>
      </c>
      <c r="K20" s="27" t="s">
        <v>336</v>
      </c>
      <c r="L20" s="27" t="s">
        <v>337</v>
      </c>
      <c r="M20" s="27" t="s">
        <v>1440</v>
      </c>
      <c r="N20" s="29">
        <v>1</v>
      </c>
      <c r="O20" s="27" t="s">
        <v>1441</v>
      </c>
      <c r="P20" s="27" t="s">
        <v>1208</v>
      </c>
      <c r="Q20" s="27" t="s">
        <v>1442</v>
      </c>
      <c r="R20" s="27" t="s">
        <v>1443</v>
      </c>
      <c r="S20" s="27" t="s">
        <v>1444</v>
      </c>
      <c r="T20" s="27" t="s">
        <v>31</v>
      </c>
      <c r="U20" s="27" t="s">
        <v>1445</v>
      </c>
      <c r="V20" s="27" t="s">
        <v>941</v>
      </c>
      <c r="W20" s="27" t="s">
        <v>1446</v>
      </c>
      <c r="X20" s="27" t="s">
        <v>100</v>
      </c>
      <c r="Y20" s="27" t="s">
        <v>941</v>
      </c>
      <c r="Z20" s="27" t="s">
        <v>1447</v>
      </c>
      <c r="AA20" s="27" t="s">
        <v>100</v>
      </c>
      <c r="AB20" s="27" t="s">
        <v>941</v>
      </c>
      <c r="AC20" s="27" t="s">
        <v>1448</v>
      </c>
      <c r="AD20" s="27" t="s">
        <v>100</v>
      </c>
      <c r="AE20" s="27" t="s">
        <v>941</v>
      </c>
      <c r="AF20" s="27" t="s">
        <v>1449</v>
      </c>
      <c r="AG20" s="27" t="s">
        <v>104</v>
      </c>
      <c r="AH20" s="27" t="s">
        <v>1450</v>
      </c>
      <c r="AI20" s="27"/>
      <c r="AJ20" s="27"/>
      <c r="AK20" s="27" t="s">
        <v>1451</v>
      </c>
      <c r="AL20" s="27" t="s">
        <v>237</v>
      </c>
      <c r="AM20" s="27"/>
      <c r="AN20" s="27"/>
      <c r="AO20" s="27" t="s">
        <v>1452</v>
      </c>
      <c r="AP20" s="27" t="s">
        <v>163</v>
      </c>
      <c r="AQ20" s="27" t="s">
        <v>98</v>
      </c>
      <c r="AR20" s="27" t="s">
        <v>1453</v>
      </c>
      <c r="AS20" s="27" t="s">
        <v>1454</v>
      </c>
      <c r="AT20" s="27" t="s">
        <v>136</v>
      </c>
      <c r="AU20" s="27" t="s">
        <v>98</v>
      </c>
      <c r="AV20" s="27" t="s">
        <v>1455</v>
      </c>
      <c r="AW20" s="27"/>
      <c r="AX20" s="27" t="s">
        <v>1456</v>
      </c>
      <c r="AY20" s="27" t="s">
        <v>115</v>
      </c>
    </row>
    <row r="21" spans="1:51" x14ac:dyDescent="0.2">
      <c r="A21" s="24" t="s">
        <v>1457</v>
      </c>
      <c r="B21" s="24" t="s">
        <v>1458</v>
      </c>
      <c r="C21" s="24"/>
      <c r="D21" s="24" t="s">
        <v>87</v>
      </c>
      <c r="E21" s="25">
        <v>253269455</v>
      </c>
      <c r="F21" s="25">
        <v>34000</v>
      </c>
      <c r="G21" s="26">
        <v>387</v>
      </c>
      <c r="H21" s="26">
        <v>653</v>
      </c>
      <c r="I21" s="24" t="s">
        <v>143</v>
      </c>
      <c r="J21" s="24" t="s">
        <v>89</v>
      </c>
      <c r="K21" s="24" t="s">
        <v>118</v>
      </c>
      <c r="L21" s="24" t="s">
        <v>119</v>
      </c>
      <c r="M21" s="24" t="s">
        <v>1459</v>
      </c>
      <c r="N21" s="26">
        <v>5</v>
      </c>
      <c r="O21" s="24" t="s">
        <v>1460</v>
      </c>
      <c r="P21" s="24" t="s">
        <v>1461</v>
      </c>
      <c r="Q21" s="24"/>
      <c r="R21" s="24" t="s">
        <v>1462</v>
      </c>
      <c r="S21" s="24" t="s">
        <v>1463</v>
      </c>
      <c r="T21" s="24" t="s">
        <v>28</v>
      </c>
      <c r="U21" s="24" t="s">
        <v>1464</v>
      </c>
      <c r="V21" s="24" t="s">
        <v>394</v>
      </c>
      <c r="W21" s="24" t="s">
        <v>1465</v>
      </c>
      <c r="X21" s="24" t="s">
        <v>100</v>
      </c>
      <c r="Y21" s="24" t="s">
        <v>394</v>
      </c>
      <c r="Z21" s="24" t="s">
        <v>1466</v>
      </c>
      <c r="AA21" s="24" t="s">
        <v>100</v>
      </c>
      <c r="AB21" s="24" t="s">
        <v>394</v>
      </c>
      <c r="AC21" s="24" t="s">
        <v>1467</v>
      </c>
      <c r="AD21" s="24" t="s">
        <v>100</v>
      </c>
      <c r="AE21" s="24" t="s">
        <v>394</v>
      </c>
      <c r="AF21" s="24" t="s">
        <v>1468</v>
      </c>
      <c r="AG21" s="24" t="s">
        <v>104</v>
      </c>
      <c r="AH21" s="24" t="s">
        <v>1469</v>
      </c>
      <c r="AI21" s="24" t="s">
        <v>1470</v>
      </c>
      <c r="AJ21" s="24" t="s">
        <v>1471</v>
      </c>
      <c r="AK21" s="24" t="s">
        <v>1472</v>
      </c>
      <c r="AL21" s="24" t="s">
        <v>133</v>
      </c>
      <c r="AM21" s="24" t="s">
        <v>394</v>
      </c>
      <c r="AN21" s="24" t="s">
        <v>1473</v>
      </c>
      <c r="AO21" s="24" t="s">
        <v>1474</v>
      </c>
      <c r="AP21" s="24" t="s">
        <v>133</v>
      </c>
      <c r="AQ21" s="24" t="s">
        <v>394</v>
      </c>
      <c r="AR21" s="24" t="s">
        <v>1475</v>
      </c>
      <c r="AS21" s="24" t="s">
        <v>1476</v>
      </c>
      <c r="AT21" s="24" t="s">
        <v>136</v>
      </c>
      <c r="AU21" s="24" t="s">
        <v>394</v>
      </c>
      <c r="AV21" s="24" t="s">
        <v>1477</v>
      </c>
      <c r="AW21" s="24" t="s">
        <v>1478</v>
      </c>
      <c r="AX21" s="24" t="s">
        <v>1479</v>
      </c>
      <c r="AY21" s="24" t="s">
        <v>115</v>
      </c>
    </row>
    <row r="22" spans="1:51" x14ac:dyDescent="0.2">
      <c r="A22" s="27" t="s">
        <v>1480</v>
      </c>
      <c r="B22" s="27" t="s">
        <v>1481</v>
      </c>
      <c r="C22" s="27"/>
      <c r="D22" s="27" t="s">
        <v>431</v>
      </c>
      <c r="E22" s="28">
        <v>239896493</v>
      </c>
      <c r="F22" s="28">
        <v>13454064</v>
      </c>
      <c r="G22" s="29">
        <v>227</v>
      </c>
      <c r="H22" s="29">
        <v>412</v>
      </c>
      <c r="I22" s="27" t="s">
        <v>219</v>
      </c>
      <c r="J22" s="27" t="s">
        <v>89</v>
      </c>
      <c r="K22" s="27" t="s">
        <v>168</v>
      </c>
      <c r="L22" s="27" t="s">
        <v>169</v>
      </c>
      <c r="M22" s="27" t="s">
        <v>1482</v>
      </c>
      <c r="N22" s="29">
        <v>0</v>
      </c>
      <c r="O22" s="27" t="s">
        <v>1483</v>
      </c>
      <c r="P22" s="27" t="s">
        <v>1484</v>
      </c>
      <c r="Q22" s="27"/>
      <c r="R22" s="27" t="s">
        <v>1485</v>
      </c>
      <c r="S22" s="27" t="s">
        <v>1486</v>
      </c>
      <c r="T22" s="27" t="s">
        <v>31</v>
      </c>
      <c r="U22" s="27" t="s">
        <v>1487</v>
      </c>
      <c r="V22" s="27" t="s">
        <v>352</v>
      </c>
      <c r="W22" s="27" t="s">
        <v>1488</v>
      </c>
      <c r="X22" s="27" t="s">
        <v>100</v>
      </c>
      <c r="Y22" s="27" t="s">
        <v>352</v>
      </c>
      <c r="Z22" s="27" t="s">
        <v>1489</v>
      </c>
      <c r="AA22" s="27" t="s">
        <v>100</v>
      </c>
      <c r="AB22" s="27" t="s">
        <v>352</v>
      </c>
      <c r="AC22" s="27" t="s">
        <v>1490</v>
      </c>
      <c r="AD22" s="27" t="s">
        <v>100</v>
      </c>
      <c r="AE22" s="27" t="s">
        <v>352</v>
      </c>
      <c r="AF22" s="27" t="s">
        <v>1491</v>
      </c>
      <c r="AG22" s="27" t="s">
        <v>104</v>
      </c>
      <c r="AH22" s="27" t="s">
        <v>1492</v>
      </c>
      <c r="AI22" s="27" t="s">
        <v>1493</v>
      </c>
      <c r="AJ22" s="27" t="s">
        <v>1494</v>
      </c>
      <c r="AK22" s="27" t="s">
        <v>1495</v>
      </c>
      <c r="AL22" s="27" t="s">
        <v>237</v>
      </c>
      <c r="AM22" s="27"/>
      <c r="AN22" s="27"/>
      <c r="AO22" s="27" t="s">
        <v>1496</v>
      </c>
      <c r="AP22" s="27" t="s">
        <v>133</v>
      </c>
      <c r="AQ22" s="27" t="s">
        <v>352</v>
      </c>
      <c r="AR22" s="27" t="s">
        <v>1497</v>
      </c>
      <c r="AS22" s="27"/>
      <c r="AT22" s="27"/>
      <c r="AU22" s="27"/>
      <c r="AV22" s="27"/>
      <c r="AW22" s="27" t="s">
        <v>1498</v>
      </c>
      <c r="AX22" s="27" t="s">
        <v>1499</v>
      </c>
      <c r="AY22" s="27" t="s">
        <v>115</v>
      </c>
    </row>
    <row r="23" spans="1:51" x14ac:dyDescent="0.2">
      <c r="A23" s="24" t="s">
        <v>1500</v>
      </c>
      <c r="B23" s="24" t="s">
        <v>1501</v>
      </c>
      <c r="C23" s="24"/>
      <c r="D23" s="24" t="s">
        <v>431</v>
      </c>
      <c r="E23" s="25">
        <v>225389097</v>
      </c>
      <c r="F23" s="25">
        <v>4000000</v>
      </c>
      <c r="G23" s="26">
        <v>271</v>
      </c>
      <c r="H23" s="26">
        <v>941</v>
      </c>
      <c r="I23" s="24" t="s">
        <v>88</v>
      </c>
      <c r="J23" s="24" t="s">
        <v>89</v>
      </c>
      <c r="K23" s="24" t="s">
        <v>1225</v>
      </c>
      <c r="L23" s="24" t="s">
        <v>1226</v>
      </c>
      <c r="M23" s="24" t="s">
        <v>1502</v>
      </c>
      <c r="N23" s="26">
        <v>3</v>
      </c>
      <c r="O23" s="24" t="s">
        <v>1503</v>
      </c>
      <c r="P23" s="24" t="s">
        <v>1504</v>
      </c>
      <c r="Q23" s="24"/>
      <c r="R23" s="24" t="s">
        <v>149</v>
      </c>
      <c r="S23" s="24" t="s">
        <v>1505</v>
      </c>
      <c r="T23" s="24" t="s">
        <v>29</v>
      </c>
      <c r="U23" s="24" t="s">
        <v>1506</v>
      </c>
      <c r="V23" s="24" t="s">
        <v>233</v>
      </c>
      <c r="W23" s="24" t="s">
        <v>1507</v>
      </c>
      <c r="X23" s="24" t="s">
        <v>104</v>
      </c>
      <c r="Y23" s="24" t="s">
        <v>233</v>
      </c>
      <c r="Z23" s="24" t="s">
        <v>1508</v>
      </c>
      <c r="AA23" s="24" t="s">
        <v>100</v>
      </c>
      <c r="AB23" s="24" t="s">
        <v>233</v>
      </c>
      <c r="AC23" s="24" t="s">
        <v>1509</v>
      </c>
      <c r="AD23" s="24" t="s">
        <v>100</v>
      </c>
      <c r="AE23" s="24" t="s">
        <v>233</v>
      </c>
      <c r="AF23" s="24" t="s">
        <v>1510</v>
      </c>
      <c r="AG23" s="24" t="s">
        <v>100</v>
      </c>
      <c r="AH23" s="24" t="s">
        <v>1511</v>
      </c>
      <c r="AI23" s="24"/>
      <c r="AJ23" s="24"/>
      <c r="AK23" s="24" t="s">
        <v>1512</v>
      </c>
      <c r="AL23" s="24" t="s">
        <v>133</v>
      </c>
      <c r="AM23" s="24"/>
      <c r="AN23" s="24"/>
      <c r="AO23" s="24" t="s">
        <v>1513</v>
      </c>
      <c r="AP23" s="24" t="s">
        <v>133</v>
      </c>
      <c r="AQ23" s="24" t="s">
        <v>233</v>
      </c>
      <c r="AR23" s="24" t="s">
        <v>1514</v>
      </c>
      <c r="AS23" s="24" t="s">
        <v>1515</v>
      </c>
      <c r="AT23" s="24" t="s">
        <v>133</v>
      </c>
      <c r="AU23" s="24"/>
      <c r="AV23" s="24"/>
      <c r="AW23" s="24" t="s">
        <v>1516</v>
      </c>
      <c r="AX23" s="24" t="s">
        <v>1517</v>
      </c>
      <c r="AY23" s="24" t="s">
        <v>115</v>
      </c>
    </row>
    <row r="24" spans="1:51" x14ac:dyDescent="0.2">
      <c r="A24" s="27" t="s">
        <v>1518</v>
      </c>
      <c r="B24" s="27" t="s">
        <v>1519</v>
      </c>
      <c r="C24" s="27" t="s">
        <v>1520</v>
      </c>
      <c r="D24" s="27" t="s">
        <v>87</v>
      </c>
      <c r="E24" s="28">
        <v>219633956</v>
      </c>
      <c r="F24" s="28">
        <v>51800000</v>
      </c>
      <c r="G24" s="29">
        <v>1315</v>
      </c>
      <c r="H24" s="29">
        <v>666</v>
      </c>
      <c r="I24" s="27" t="s">
        <v>143</v>
      </c>
      <c r="J24" s="27" t="s">
        <v>89</v>
      </c>
      <c r="K24" s="27" t="s">
        <v>144</v>
      </c>
      <c r="L24" s="27" t="s">
        <v>145</v>
      </c>
      <c r="M24" s="27" t="s">
        <v>1521</v>
      </c>
      <c r="N24" s="29">
        <v>7</v>
      </c>
      <c r="O24" s="27" t="s">
        <v>1522</v>
      </c>
      <c r="P24" s="27"/>
      <c r="Q24" s="27" t="s">
        <v>1523</v>
      </c>
      <c r="R24" s="27" t="s">
        <v>1081</v>
      </c>
      <c r="S24" s="27" t="s">
        <v>1524</v>
      </c>
      <c r="T24" s="27" t="s">
        <v>23</v>
      </c>
      <c r="U24" s="27" t="s">
        <v>1525</v>
      </c>
      <c r="V24" s="27" t="s">
        <v>1526</v>
      </c>
      <c r="W24" s="27" t="s">
        <v>1527</v>
      </c>
      <c r="X24" s="27" t="s">
        <v>104</v>
      </c>
      <c r="Y24" s="27"/>
      <c r="Z24" s="27"/>
      <c r="AA24" s="27"/>
      <c r="AB24" s="27"/>
      <c r="AC24" s="27"/>
      <c r="AD24" s="27"/>
      <c r="AE24" s="27"/>
      <c r="AF24" s="27"/>
      <c r="AG24" s="27"/>
      <c r="AH24" s="27" t="s">
        <v>1528</v>
      </c>
      <c r="AI24" s="27" t="s">
        <v>1529</v>
      </c>
      <c r="AJ24" s="27" t="s">
        <v>1530</v>
      </c>
      <c r="AK24" s="27" t="s">
        <v>1531</v>
      </c>
      <c r="AL24" s="27" t="s">
        <v>163</v>
      </c>
      <c r="AM24" s="27" t="s">
        <v>1526</v>
      </c>
      <c r="AN24" s="27" t="s">
        <v>1532</v>
      </c>
      <c r="AO24" s="27" t="s">
        <v>1533</v>
      </c>
      <c r="AP24" s="27" t="s">
        <v>133</v>
      </c>
      <c r="AQ24" s="27" t="s">
        <v>1526</v>
      </c>
      <c r="AR24" s="27" t="s">
        <v>1534</v>
      </c>
      <c r="AS24" s="27" t="s">
        <v>1535</v>
      </c>
      <c r="AT24" s="27" t="s">
        <v>163</v>
      </c>
      <c r="AU24" s="27" t="s">
        <v>1526</v>
      </c>
      <c r="AV24" s="27" t="s">
        <v>1536</v>
      </c>
      <c r="AW24" s="27" t="s">
        <v>1537</v>
      </c>
      <c r="AX24" s="27" t="s">
        <v>1538</v>
      </c>
      <c r="AY24" s="27" t="s">
        <v>290</v>
      </c>
    </row>
    <row r="25" spans="1:51" x14ac:dyDescent="0.2">
      <c r="A25" s="24" t="s">
        <v>1539</v>
      </c>
      <c r="B25" s="24" t="s">
        <v>1540</v>
      </c>
      <c r="C25" s="24"/>
      <c r="D25" s="24" t="s">
        <v>87</v>
      </c>
      <c r="E25" s="25">
        <v>207812073</v>
      </c>
      <c r="F25" s="25">
        <v>1439000</v>
      </c>
      <c r="G25" s="26">
        <v>51</v>
      </c>
      <c r="H25" s="26">
        <v>586</v>
      </c>
      <c r="I25" s="24" t="s">
        <v>143</v>
      </c>
      <c r="J25" s="24" t="s">
        <v>89</v>
      </c>
      <c r="K25" s="24" t="s">
        <v>90</v>
      </c>
      <c r="L25" s="24" t="s">
        <v>91</v>
      </c>
      <c r="M25" s="24" t="s">
        <v>1541</v>
      </c>
      <c r="N25" s="26">
        <v>0</v>
      </c>
      <c r="O25" s="24" t="s">
        <v>1542</v>
      </c>
      <c r="P25" s="24" t="s">
        <v>1543</v>
      </c>
      <c r="Q25" s="24"/>
      <c r="R25" s="24" t="s">
        <v>1544</v>
      </c>
      <c r="S25" s="24" t="s">
        <v>1545</v>
      </c>
      <c r="T25" s="24" t="s">
        <v>26</v>
      </c>
      <c r="U25" s="24" t="s">
        <v>1546</v>
      </c>
      <c r="V25" s="24" t="s">
        <v>473</v>
      </c>
      <c r="W25" s="24" t="s">
        <v>1547</v>
      </c>
      <c r="X25" s="24" t="s">
        <v>100</v>
      </c>
      <c r="Y25" s="24" t="s">
        <v>473</v>
      </c>
      <c r="Z25" s="24" t="s">
        <v>1548</v>
      </c>
      <c r="AA25" s="24" t="s">
        <v>100</v>
      </c>
      <c r="AB25" s="24" t="s">
        <v>252</v>
      </c>
      <c r="AC25" s="24" t="s">
        <v>1549</v>
      </c>
      <c r="AD25" s="24" t="s">
        <v>100</v>
      </c>
      <c r="AE25" s="24" t="s">
        <v>252</v>
      </c>
      <c r="AF25" s="24" t="s">
        <v>1550</v>
      </c>
      <c r="AG25" s="24" t="s">
        <v>104</v>
      </c>
      <c r="AH25" s="24" t="s">
        <v>1551</v>
      </c>
      <c r="AI25" s="24" t="s">
        <v>1552</v>
      </c>
      <c r="AJ25" s="24" t="s">
        <v>1553</v>
      </c>
      <c r="AK25" s="24" t="s">
        <v>1554</v>
      </c>
      <c r="AL25" s="24" t="s">
        <v>136</v>
      </c>
      <c r="AM25" s="24" t="s">
        <v>98</v>
      </c>
      <c r="AN25" s="24" t="s">
        <v>1555</v>
      </c>
      <c r="AO25" s="24" t="s">
        <v>1556</v>
      </c>
      <c r="AP25" s="24" t="s">
        <v>136</v>
      </c>
      <c r="AQ25" s="24" t="s">
        <v>416</v>
      </c>
      <c r="AR25" s="24" t="s">
        <v>1557</v>
      </c>
      <c r="AS25" s="24" t="s">
        <v>1558</v>
      </c>
      <c r="AT25" s="24" t="s">
        <v>163</v>
      </c>
      <c r="AU25" s="24" t="s">
        <v>98</v>
      </c>
      <c r="AV25" s="24" t="s">
        <v>1559</v>
      </c>
      <c r="AW25" s="24" t="s">
        <v>1560</v>
      </c>
      <c r="AX25" s="24"/>
      <c r="AY25" s="24" t="s">
        <v>115</v>
      </c>
    </row>
    <row r="26" spans="1:51" x14ac:dyDescent="0.2">
      <c r="A26" s="27" t="s">
        <v>1561</v>
      </c>
      <c r="B26" s="27" t="s">
        <v>1562</v>
      </c>
      <c r="C26" s="27" t="s">
        <v>1563</v>
      </c>
      <c r="D26" s="27" t="s">
        <v>431</v>
      </c>
      <c r="E26" s="28">
        <v>203984723</v>
      </c>
      <c r="F26" s="28">
        <v>1200000</v>
      </c>
      <c r="G26" s="29">
        <v>327</v>
      </c>
      <c r="H26" s="29">
        <v>655</v>
      </c>
      <c r="I26" s="27" t="s">
        <v>143</v>
      </c>
      <c r="J26" s="27" t="s">
        <v>89</v>
      </c>
      <c r="K26" s="27" t="s">
        <v>1225</v>
      </c>
      <c r="L26" s="27" t="s">
        <v>1226</v>
      </c>
      <c r="M26" s="27" t="s">
        <v>1564</v>
      </c>
      <c r="N26" s="29">
        <v>0</v>
      </c>
      <c r="O26" s="27" t="s">
        <v>1563</v>
      </c>
      <c r="P26" s="27"/>
      <c r="Q26" s="27" t="s">
        <v>1565</v>
      </c>
      <c r="R26" s="27"/>
      <c r="S26" s="27" t="s">
        <v>1566</v>
      </c>
      <c r="T26" s="27" t="s">
        <v>22</v>
      </c>
      <c r="U26" s="27" t="s">
        <v>1567</v>
      </c>
      <c r="V26" s="27" t="s">
        <v>1300</v>
      </c>
      <c r="W26" s="27" t="s">
        <v>1568</v>
      </c>
      <c r="X26" s="27" t="s">
        <v>100</v>
      </c>
      <c r="Y26" s="27" t="s">
        <v>1300</v>
      </c>
      <c r="Z26" s="27" t="s">
        <v>1569</v>
      </c>
      <c r="AA26" s="27" t="s">
        <v>104</v>
      </c>
      <c r="AB26" s="27"/>
      <c r="AC26" s="27"/>
      <c r="AD26" s="27"/>
      <c r="AE26" s="27"/>
      <c r="AF26" s="27"/>
      <c r="AG26" s="27"/>
      <c r="AH26" s="27" t="s">
        <v>1570</v>
      </c>
      <c r="AI26" s="27" t="s">
        <v>1571</v>
      </c>
      <c r="AJ26" s="27"/>
      <c r="AK26" s="27" t="s">
        <v>1572</v>
      </c>
      <c r="AL26" s="27" t="s">
        <v>133</v>
      </c>
      <c r="AM26" s="27" t="s">
        <v>1300</v>
      </c>
      <c r="AN26" s="27" t="s">
        <v>1573</v>
      </c>
      <c r="AO26" s="27"/>
      <c r="AP26" s="27"/>
      <c r="AQ26" s="27"/>
      <c r="AR26" s="27"/>
      <c r="AS26" s="27"/>
      <c r="AT26" s="27"/>
      <c r="AU26" s="27"/>
      <c r="AV26" s="27"/>
      <c r="AW26" s="27" t="s">
        <v>1574</v>
      </c>
      <c r="AX26" s="27" t="s">
        <v>1575</v>
      </c>
      <c r="AY26" s="27" t="s">
        <v>290</v>
      </c>
    </row>
    <row r="27" spans="1:51" x14ac:dyDescent="0.2">
      <c r="A27" s="24" t="s">
        <v>1576</v>
      </c>
      <c r="B27" s="24" t="s">
        <v>1577</v>
      </c>
      <c r="C27" s="24"/>
      <c r="D27" s="24" t="s">
        <v>431</v>
      </c>
      <c r="E27" s="25">
        <v>198592549</v>
      </c>
      <c r="F27" s="25">
        <v>3148629</v>
      </c>
      <c r="G27" s="26"/>
      <c r="H27" s="26">
        <v>620</v>
      </c>
      <c r="I27" s="24" t="s">
        <v>143</v>
      </c>
      <c r="J27" s="24" t="s">
        <v>89</v>
      </c>
      <c r="K27" s="24" t="s">
        <v>90</v>
      </c>
      <c r="L27" s="24" t="s">
        <v>91</v>
      </c>
      <c r="M27" s="24" t="s">
        <v>1578</v>
      </c>
      <c r="N27" s="26">
        <v>0</v>
      </c>
      <c r="O27" s="24" t="s">
        <v>1579</v>
      </c>
      <c r="P27" s="24" t="s">
        <v>1580</v>
      </c>
      <c r="Q27" s="24" t="s">
        <v>1581</v>
      </c>
      <c r="R27" s="24" t="s">
        <v>1582</v>
      </c>
      <c r="S27" s="24" t="s">
        <v>1583</v>
      </c>
      <c r="T27" s="24" t="s">
        <v>28</v>
      </c>
      <c r="U27" s="24" t="s">
        <v>1584</v>
      </c>
      <c r="V27" s="24" t="s">
        <v>644</v>
      </c>
      <c r="W27" s="24" t="s">
        <v>1585</v>
      </c>
      <c r="X27" s="24" t="s">
        <v>100</v>
      </c>
      <c r="Y27" s="24" t="s">
        <v>644</v>
      </c>
      <c r="Z27" s="24" t="s">
        <v>1586</v>
      </c>
      <c r="AA27" s="24" t="s">
        <v>100</v>
      </c>
      <c r="AB27" s="24" t="s">
        <v>1587</v>
      </c>
      <c r="AC27" s="24" t="s">
        <v>1588</v>
      </c>
      <c r="AD27" s="24" t="s">
        <v>100</v>
      </c>
      <c r="AE27" s="24" t="s">
        <v>644</v>
      </c>
      <c r="AF27" s="24" t="s">
        <v>1589</v>
      </c>
      <c r="AG27" s="24" t="s">
        <v>104</v>
      </c>
      <c r="AH27" s="24" t="s">
        <v>1590</v>
      </c>
      <c r="AI27" s="24" t="s">
        <v>1591</v>
      </c>
      <c r="AJ27" s="24" t="s">
        <v>1592</v>
      </c>
      <c r="AK27" s="24" t="s">
        <v>1593</v>
      </c>
      <c r="AL27" s="24" t="s">
        <v>163</v>
      </c>
      <c r="AM27" s="24" t="s">
        <v>644</v>
      </c>
      <c r="AN27" s="24" t="s">
        <v>1586</v>
      </c>
      <c r="AO27" s="24" t="s">
        <v>1594</v>
      </c>
      <c r="AP27" s="24" t="s">
        <v>163</v>
      </c>
      <c r="AQ27" s="24" t="s">
        <v>644</v>
      </c>
      <c r="AR27" s="24" t="s">
        <v>1595</v>
      </c>
      <c r="AS27" s="24" t="s">
        <v>1596</v>
      </c>
      <c r="AT27" s="24" t="s">
        <v>163</v>
      </c>
      <c r="AU27" s="24"/>
      <c r="AV27" s="24"/>
      <c r="AW27" s="24" t="s">
        <v>1597</v>
      </c>
      <c r="AX27" s="24" t="s">
        <v>1598</v>
      </c>
      <c r="AY27" s="24" t="s">
        <v>115</v>
      </c>
    </row>
    <row r="28" spans="1:51" x14ac:dyDescent="0.2">
      <c r="A28" s="27" t="s">
        <v>1599</v>
      </c>
      <c r="B28" s="27" t="s">
        <v>1600</v>
      </c>
      <c r="C28" s="27"/>
      <c r="D28" s="27" t="s">
        <v>431</v>
      </c>
      <c r="E28" s="28">
        <v>193404321</v>
      </c>
      <c r="F28" s="28">
        <v>51854169</v>
      </c>
      <c r="G28" s="29">
        <v>90</v>
      </c>
      <c r="H28" s="29">
        <v>766</v>
      </c>
      <c r="I28" s="27" t="s">
        <v>88</v>
      </c>
      <c r="J28" s="27" t="s">
        <v>89</v>
      </c>
      <c r="K28" s="27" t="s">
        <v>1601</v>
      </c>
      <c r="L28" s="27" t="s">
        <v>1602</v>
      </c>
      <c r="M28" s="27" t="s">
        <v>1603</v>
      </c>
      <c r="N28" s="29">
        <v>4</v>
      </c>
      <c r="O28" s="27" t="s">
        <v>1604</v>
      </c>
      <c r="P28" s="27" t="s">
        <v>1605</v>
      </c>
      <c r="Q28" s="27"/>
      <c r="R28" s="27" t="s">
        <v>1606</v>
      </c>
      <c r="S28" s="27" t="s">
        <v>1607</v>
      </c>
      <c r="T28" s="27" t="s">
        <v>27</v>
      </c>
      <c r="U28" s="27" t="s">
        <v>1608</v>
      </c>
      <c r="V28" s="27" t="s">
        <v>439</v>
      </c>
      <c r="W28" s="27" t="s">
        <v>1609</v>
      </c>
      <c r="X28" s="27" t="s">
        <v>100</v>
      </c>
      <c r="Y28" s="27" t="s">
        <v>439</v>
      </c>
      <c r="Z28" s="27" t="s">
        <v>1610</v>
      </c>
      <c r="AA28" s="27" t="s">
        <v>100</v>
      </c>
      <c r="AB28" s="27" t="s">
        <v>439</v>
      </c>
      <c r="AC28" s="27" t="s">
        <v>1611</v>
      </c>
      <c r="AD28" s="27" t="s">
        <v>100</v>
      </c>
      <c r="AE28" s="27" t="s">
        <v>439</v>
      </c>
      <c r="AF28" s="27" t="s">
        <v>1612</v>
      </c>
      <c r="AG28" s="27" t="s">
        <v>104</v>
      </c>
      <c r="AH28" s="27" t="s">
        <v>1613</v>
      </c>
      <c r="AI28" s="27" t="s">
        <v>1614</v>
      </c>
      <c r="AJ28" s="27" t="s">
        <v>1615</v>
      </c>
      <c r="AK28" s="27" t="s">
        <v>1616</v>
      </c>
      <c r="AL28" s="27" t="s">
        <v>163</v>
      </c>
      <c r="AM28" s="27" t="s">
        <v>439</v>
      </c>
      <c r="AN28" s="27" t="s">
        <v>1617</v>
      </c>
      <c r="AO28" s="27" t="s">
        <v>1618</v>
      </c>
      <c r="AP28" s="27" t="s">
        <v>133</v>
      </c>
      <c r="AQ28" s="27"/>
      <c r="AR28" s="27"/>
      <c r="AS28" s="27" t="s">
        <v>1619</v>
      </c>
      <c r="AT28" s="27" t="s">
        <v>163</v>
      </c>
      <c r="AU28" s="27" t="s">
        <v>439</v>
      </c>
      <c r="AV28" s="27" t="s">
        <v>1620</v>
      </c>
      <c r="AW28" s="27" t="s">
        <v>1621</v>
      </c>
      <c r="AX28" s="27" t="s">
        <v>1622</v>
      </c>
      <c r="AY28" s="27" t="s">
        <v>290</v>
      </c>
    </row>
    <row r="29" spans="1:51" x14ac:dyDescent="0.2">
      <c r="A29" s="24" t="s">
        <v>1623</v>
      </c>
      <c r="B29" s="24" t="s">
        <v>1624</v>
      </c>
      <c r="C29" s="24"/>
      <c r="D29" s="24" t="s">
        <v>431</v>
      </c>
      <c r="E29" s="25">
        <v>189700722</v>
      </c>
      <c r="F29" s="25">
        <v>45821770</v>
      </c>
      <c r="G29" s="26">
        <v>9</v>
      </c>
      <c r="H29" s="26">
        <v>888</v>
      </c>
      <c r="I29" s="24" t="s">
        <v>88</v>
      </c>
      <c r="J29" s="24" t="s">
        <v>89</v>
      </c>
      <c r="K29" s="24" t="s">
        <v>244</v>
      </c>
      <c r="L29" s="24" t="s">
        <v>245</v>
      </c>
      <c r="M29" s="24" t="s">
        <v>1625</v>
      </c>
      <c r="N29" s="26">
        <v>1</v>
      </c>
      <c r="O29" s="24" t="s">
        <v>1626</v>
      </c>
      <c r="P29" s="24" t="s">
        <v>1627</v>
      </c>
      <c r="Q29" s="24" t="s">
        <v>1628</v>
      </c>
      <c r="R29" s="24" t="s">
        <v>1629</v>
      </c>
      <c r="S29" s="24" t="s">
        <v>437</v>
      </c>
      <c r="T29" s="24" t="s">
        <v>27</v>
      </c>
      <c r="U29" s="24" t="s">
        <v>1630</v>
      </c>
      <c r="V29" s="24" t="s">
        <v>439</v>
      </c>
      <c r="W29" s="24" t="s">
        <v>1631</v>
      </c>
      <c r="X29" s="24" t="s">
        <v>100</v>
      </c>
      <c r="Y29" s="24" t="s">
        <v>439</v>
      </c>
      <c r="Z29" s="24" t="s">
        <v>1632</v>
      </c>
      <c r="AA29" s="24" t="s">
        <v>100</v>
      </c>
      <c r="AB29" s="24" t="s">
        <v>439</v>
      </c>
      <c r="AC29" s="24" t="s">
        <v>1633</v>
      </c>
      <c r="AD29" s="24" t="s">
        <v>100</v>
      </c>
      <c r="AE29" s="24" t="s">
        <v>439</v>
      </c>
      <c r="AF29" s="24" t="s">
        <v>1634</v>
      </c>
      <c r="AG29" s="24" t="s">
        <v>104</v>
      </c>
      <c r="AH29" s="24" t="s">
        <v>1635</v>
      </c>
      <c r="AI29" s="24"/>
      <c r="AJ29" s="24"/>
      <c r="AK29" s="24" t="s">
        <v>1636</v>
      </c>
      <c r="AL29" s="24" t="s">
        <v>109</v>
      </c>
      <c r="AM29" s="24" t="s">
        <v>98</v>
      </c>
      <c r="AN29" s="24" t="s">
        <v>1637</v>
      </c>
      <c r="AO29" s="24"/>
      <c r="AP29" s="24"/>
      <c r="AQ29" s="24"/>
      <c r="AR29" s="24"/>
      <c r="AS29" s="24"/>
      <c r="AT29" s="24"/>
      <c r="AU29" s="24"/>
      <c r="AV29" s="24"/>
      <c r="AW29" s="24" t="s">
        <v>1638</v>
      </c>
      <c r="AX29" s="24" t="s">
        <v>1639</v>
      </c>
      <c r="AY29" s="24" t="s">
        <v>115</v>
      </c>
    </row>
    <row r="30" spans="1:51" x14ac:dyDescent="0.2">
      <c r="A30" s="27" t="s">
        <v>1640</v>
      </c>
      <c r="B30" s="27" t="s">
        <v>1641</v>
      </c>
      <c r="C30" s="27" t="s">
        <v>1642</v>
      </c>
      <c r="D30" s="27" t="s">
        <v>87</v>
      </c>
      <c r="E30" s="28">
        <v>182472782</v>
      </c>
      <c r="F30" s="28">
        <v>178000002</v>
      </c>
      <c r="G30" s="29">
        <v>437</v>
      </c>
      <c r="H30" s="29">
        <v>742</v>
      </c>
      <c r="I30" s="27" t="s">
        <v>88</v>
      </c>
      <c r="J30" s="27" t="s">
        <v>89</v>
      </c>
      <c r="K30" s="27" t="s">
        <v>90</v>
      </c>
      <c r="L30" s="27" t="s">
        <v>91</v>
      </c>
      <c r="M30" s="27" t="s">
        <v>1643</v>
      </c>
      <c r="N30" s="29">
        <v>36</v>
      </c>
      <c r="O30" s="27" t="s">
        <v>1644</v>
      </c>
      <c r="P30" s="27" t="s">
        <v>1645</v>
      </c>
      <c r="Q30" s="27" t="s">
        <v>1646</v>
      </c>
      <c r="R30" s="27" t="s">
        <v>1647</v>
      </c>
      <c r="S30" s="27" t="s">
        <v>1648</v>
      </c>
      <c r="T30" s="27" t="s">
        <v>19</v>
      </c>
      <c r="U30" s="27" t="s">
        <v>1649</v>
      </c>
      <c r="V30" s="27" t="s">
        <v>321</v>
      </c>
      <c r="W30" s="27" t="s">
        <v>1650</v>
      </c>
      <c r="X30" s="27" t="s">
        <v>104</v>
      </c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 t="s">
        <v>1651</v>
      </c>
      <c r="AL30" s="27" t="s">
        <v>163</v>
      </c>
      <c r="AM30" s="27" t="s">
        <v>321</v>
      </c>
      <c r="AN30" s="27" t="s">
        <v>1652</v>
      </c>
      <c r="AO30" s="27" t="s">
        <v>1653</v>
      </c>
      <c r="AP30" s="27" t="s">
        <v>136</v>
      </c>
      <c r="AQ30" s="27" t="s">
        <v>1654</v>
      </c>
      <c r="AR30" s="27" t="s">
        <v>1655</v>
      </c>
      <c r="AS30" s="27" t="s">
        <v>1656</v>
      </c>
      <c r="AT30" s="27" t="s">
        <v>136</v>
      </c>
      <c r="AU30" s="27" t="s">
        <v>98</v>
      </c>
      <c r="AV30" s="27" t="s">
        <v>1657</v>
      </c>
      <c r="AW30" s="27" t="s">
        <v>1658</v>
      </c>
      <c r="AX30" s="27" t="s">
        <v>1659</v>
      </c>
      <c r="AY30" s="27" t="s">
        <v>115</v>
      </c>
    </row>
    <row r="31" spans="1:51" x14ac:dyDescent="0.2">
      <c r="A31" s="24" t="s">
        <v>1660</v>
      </c>
      <c r="B31" s="24" t="s">
        <v>1661</v>
      </c>
      <c r="C31" s="24" t="s">
        <v>1662</v>
      </c>
      <c r="D31" s="24" t="s">
        <v>87</v>
      </c>
      <c r="E31" s="25">
        <v>175549216</v>
      </c>
      <c r="F31" s="25">
        <v>24616051</v>
      </c>
      <c r="G31" s="26">
        <v>121</v>
      </c>
      <c r="H31" s="26">
        <v>353</v>
      </c>
      <c r="I31" s="24" t="s">
        <v>219</v>
      </c>
      <c r="J31" s="24" t="s">
        <v>89</v>
      </c>
      <c r="K31" s="24" t="s">
        <v>336</v>
      </c>
      <c r="L31" s="24" t="s">
        <v>337</v>
      </c>
      <c r="M31" s="24" t="s">
        <v>1663</v>
      </c>
      <c r="N31" s="26">
        <v>6</v>
      </c>
      <c r="O31" s="24" t="s">
        <v>1664</v>
      </c>
      <c r="P31" s="24" t="s">
        <v>1665</v>
      </c>
      <c r="Q31" s="24"/>
      <c r="R31" s="24" t="s">
        <v>1666</v>
      </c>
      <c r="S31" s="24" t="s">
        <v>249</v>
      </c>
      <c r="T31" s="24" t="s">
        <v>26</v>
      </c>
      <c r="U31" s="24" t="s">
        <v>1667</v>
      </c>
      <c r="V31" s="24" t="s">
        <v>252</v>
      </c>
      <c r="W31" s="24" t="s">
        <v>1668</v>
      </c>
      <c r="X31" s="24" t="s">
        <v>104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 t="s">
        <v>1669</v>
      </c>
      <c r="AL31" s="24" t="s">
        <v>136</v>
      </c>
      <c r="AM31" s="24" t="s">
        <v>252</v>
      </c>
      <c r="AN31" s="24" t="s">
        <v>1670</v>
      </c>
      <c r="AO31" s="24" t="s">
        <v>1671</v>
      </c>
      <c r="AP31" s="24" t="s">
        <v>163</v>
      </c>
      <c r="AQ31" s="24" t="s">
        <v>252</v>
      </c>
      <c r="AR31" s="24" t="s">
        <v>1672</v>
      </c>
      <c r="AS31" s="24"/>
      <c r="AT31" s="24"/>
      <c r="AU31" s="24"/>
      <c r="AV31" s="24"/>
      <c r="AW31" s="24" t="s">
        <v>1673</v>
      </c>
      <c r="AX31" s="24" t="s">
        <v>1674</v>
      </c>
      <c r="AY31" s="24" t="s">
        <v>290</v>
      </c>
    </row>
    <row r="32" spans="1:51" x14ac:dyDescent="0.2">
      <c r="A32" s="27" t="s">
        <v>1675</v>
      </c>
      <c r="B32" s="27" t="s">
        <v>1676</v>
      </c>
      <c r="C32" s="27" t="s">
        <v>1677</v>
      </c>
      <c r="D32" s="27" t="s">
        <v>87</v>
      </c>
      <c r="E32" s="28">
        <v>170614186</v>
      </c>
      <c r="F32" s="28">
        <v>53000000</v>
      </c>
      <c r="G32" s="29">
        <v>889</v>
      </c>
      <c r="H32" s="29">
        <v>702</v>
      </c>
      <c r="I32" s="27" t="s">
        <v>88</v>
      </c>
      <c r="J32" s="27" t="s">
        <v>89</v>
      </c>
      <c r="K32" s="27" t="s">
        <v>118</v>
      </c>
      <c r="L32" s="27" t="s">
        <v>119</v>
      </c>
      <c r="M32" s="27" t="s">
        <v>1678</v>
      </c>
      <c r="N32" s="29">
        <v>7</v>
      </c>
      <c r="O32" s="27" t="s">
        <v>1422</v>
      </c>
      <c r="P32" s="27" t="s">
        <v>1679</v>
      </c>
      <c r="Q32" s="27" t="s">
        <v>1680</v>
      </c>
      <c r="R32" s="27" t="s">
        <v>1424</v>
      </c>
      <c r="S32" s="27" t="s">
        <v>301</v>
      </c>
      <c r="T32" s="27" t="s">
        <v>31</v>
      </c>
      <c r="U32" s="27" t="s">
        <v>1681</v>
      </c>
      <c r="V32" s="27" t="s">
        <v>98</v>
      </c>
      <c r="W32" s="27" t="s">
        <v>1682</v>
      </c>
      <c r="X32" s="27" t="s">
        <v>100</v>
      </c>
      <c r="Y32" s="27" t="s">
        <v>98</v>
      </c>
      <c r="Z32" s="27" t="s">
        <v>1683</v>
      </c>
      <c r="AA32" s="27" t="s">
        <v>100</v>
      </c>
      <c r="AB32" s="27" t="s">
        <v>98</v>
      </c>
      <c r="AC32" s="27" t="s">
        <v>1684</v>
      </c>
      <c r="AD32" s="27" t="s">
        <v>100</v>
      </c>
      <c r="AE32" s="27" t="s">
        <v>98</v>
      </c>
      <c r="AF32" s="27" t="s">
        <v>1685</v>
      </c>
      <c r="AG32" s="27" t="s">
        <v>104</v>
      </c>
      <c r="AH32" s="27" t="s">
        <v>1686</v>
      </c>
      <c r="AI32" s="27" t="s">
        <v>1687</v>
      </c>
      <c r="AJ32" s="27" t="s">
        <v>1688</v>
      </c>
      <c r="AK32" s="27" t="s">
        <v>1689</v>
      </c>
      <c r="AL32" s="27" t="s">
        <v>163</v>
      </c>
      <c r="AM32" s="27" t="s">
        <v>792</v>
      </c>
      <c r="AN32" s="27" t="s">
        <v>1690</v>
      </c>
      <c r="AO32" s="27" t="s">
        <v>1691</v>
      </c>
      <c r="AP32" s="27" t="s">
        <v>136</v>
      </c>
      <c r="AQ32" s="27" t="s">
        <v>352</v>
      </c>
      <c r="AR32" s="27" t="s">
        <v>1692</v>
      </c>
      <c r="AS32" s="27" t="s">
        <v>1693</v>
      </c>
      <c r="AT32" s="27" t="s">
        <v>136</v>
      </c>
      <c r="AU32" s="27" t="s">
        <v>1021</v>
      </c>
      <c r="AV32" s="27" t="s">
        <v>1694</v>
      </c>
      <c r="AW32" s="27" t="s">
        <v>1695</v>
      </c>
      <c r="AX32" s="27" t="s">
        <v>1696</v>
      </c>
      <c r="AY32" s="27" t="s">
        <v>115</v>
      </c>
    </row>
    <row r="33" spans="1:51" x14ac:dyDescent="0.2">
      <c r="A33" s="24" t="s">
        <v>1697</v>
      </c>
      <c r="B33" s="24" t="s">
        <v>1698</v>
      </c>
      <c r="C33" s="24" t="s">
        <v>1699</v>
      </c>
      <c r="D33" s="24" t="s">
        <v>87</v>
      </c>
      <c r="E33" s="25">
        <v>162250226</v>
      </c>
      <c r="F33" s="25">
        <v>39000000</v>
      </c>
      <c r="G33" s="26">
        <v>974</v>
      </c>
      <c r="H33" s="26">
        <v>608</v>
      </c>
      <c r="I33" s="24" t="s">
        <v>143</v>
      </c>
      <c r="J33" s="24" t="s">
        <v>89</v>
      </c>
      <c r="K33" s="24" t="s">
        <v>244</v>
      </c>
      <c r="L33" s="24" t="s">
        <v>245</v>
      </c>
      <c r="M33" s="24" t="s">
        <v>1700</v>
      </c>
      <c r="N33" s="26">
        <v>14</v>
      </c>
      <c r="O33" s="24" t="s">
        <v>1701</v>
      </c>
      <c r="P33" s="24" t="s">
        <v>1702</v>
      </c>
      <c r="Q33" s="24" t="s">
        <v>1703</v>
      </c>
      <c r="R33" s="24" t="s">
        <v>1704</v>
      </c>
      <c r="S33" s="24" t="s">
        <v>437</v>
      </c>
      <c r="T33" s="24" t="s">
        <v>27</v>
      </c>
      <c r="U33" s="24" t="s">
        <v>1705</v>
      </c>
      <c r="V33" s="24" t="s">
        <v>439</v>
      </c>
      <c r="W33" s="24" t="s">
        <v>1706</v>
      </c>
      <c r="X33" s="24" t="s">
        <v>100</v>
      </c>
      <c r="Y33" s="24" t="s">
        <v>439</v>
      </c>
      <c r="Z33" s="24" t="s">
        <v>1707</v>
      </c>
      <c r="AA33" s="24" t="s">
        <v>100</v>
      </c>
      <c r="AB33" s="24" t="s">
        <v>439</v>
      </c>
      <c r="AC33" s="24" t="s">
        <v>1708</v>
      </c>
      <c r="AD33" s="24" t="s">
        <v>100</v>
      </c>
      <c r="AE33" s="24" t="s">
        <v>439</v>
      </c>
      <c r="AF33" s="24" t="s">
        <v>1709</v>
      </c>
      <c r="AG33" s="24" t="s">
        <v>104</v>
      </c>
      <c r="AH33" s="24" t="s">
        <v>1710</v>
      </c>
      <c r="AI33" s="24" t="s">
        <v>1711</v>
      </c>
      <c r="AJ33" s="24" t="s">
        <v>1712</v>
      </c>
      <c r="AK33" s="24" t="s">
        <v>1713</v>
      </c>
      <c r="AL33" s="24" t="s">
        <v>133</v>
      </c>
      <c r="AM33" s="24" t="s">
        <v>439</v>
      </c>
      <c r="AN33" s="24" t="s">
        <v>1714</v>
      </c>
      <c r="AO33" s="24" t="s">
        <v>1715</v>
      </c>
      <c r="AP33" s="24" t="s">
        <v>163</v>
      </c>
      <c r="AQ33" s="24" t="s">
        <v>439</v>
      </c>
      <c r="AR33" s="24" t="s">
        <v>1716</v>
      </c>
      <c r="AS33" s="24" t="s">
        <v>1717</v>
      </c>
      <c r="AT33" s="24" t="s">
        <v>163</v>
      </c>
      <c r="AU33" s="24" t="s">
        <v>439</v>
      </c>
      <c r="AV33" s="24" t="s">
        <v>1718</v>
      </c>
      <c r="AW33" s="24" t="s">
        <v>1719</v>
      </c>
      <c r="AX33" s="24" t="s">
        <v>1720</v>
      </c>
      <c r="AY33" s="24" t="s">
        <v>290</v>
      </c>
    </row>
    <row r="34" spans="1:51" x14ac:dyDescent="0.2">
      <c r="A34" s="27" t="s">
        <v>1721</v>
      </c>
      <c r="B34" s="27" t="s">
        <v>1722</v>
      </c>
      <c r="C34" s="27" t="s">
        <v>1723</v>
      </c>
      <c r="D34" s="27" t="s">
        <v>431</v>
      </c>
      <c r="E34" s="28">
        <v>160502556</v>
      </c>
      <c r="F34" s="28">
        <v>2350000</v>
      </c>
      <c r="G34" s="29">
        <v>322</v>
      </c>
      <c r="H34" s="29">
        <v>683</v>
      </c>
      <c r="I34" s="27" t="s">
        <v>143</v>
      </c>
      <c r="J34" s="27" t="s">
        <v>89</v>
      </c>
      <c r="K34" s="27" t="s">
        <v>192</v>
      </c>
      <c r="L34" s="27" t="s">
        <v>193</v>
      </c>
      <c r="M34" s="27" t="s">
        <v>1724</v>
      </c>
      <c r="N34" s="29">
        <v>0</v>
      </c>
      <c r="O34" s="27" t="s">
        <v>1725</v>
      </c>
      <c r="P34" s="27" t="s">
        <v>1726</v>
      </c>
      <c r="Q34" s="27" t="s">
        <v>1727</v>
      </c>
      <c r="R34" s="27" t="s">
        <v>173</v>
      </c>
      <c r="S34" s="27" t="s">
        <v>1728</v>
      </c>
      <c r="T34" s="27" t="s">
        <v>28</v>
      </c>
      <c r="U34" s="27" t="s">
        <v>1729</v>
      </c>
      <c r="V34" s="27" t="s">
        <v>644</v>
      </c>
      <c r="W34" s="27" t="s">
        <v>1730</v>
      </c>
      <c r="X34" s="27" t="s">
        <v>100</v>
      </c>
      <c r="Y34" s="27" t="s">
        <v>644</v>
      </c>
      <c r="Z34" s="27" t="s">
        <v>1731</v>
      </c>
      <c r="AA34" s="27" t="s">
        <v>100</v>
      </c>
      <c r="AB34" s="27" t="s">
        <v>644</v>
      </c>
      <c r="AC34" s="27" t="s">
        <v>1732</v>
      </c>
      <c r="AD34" s="27" t="s">
        <v>100</v>
      </c>
      <c r="AE34" s="27" t="s">
        <v>644</v>
      </c>
      <c r="AF34" s="27" t="s">
        <v>1733</v>
      </c>
      <c r="AG34" s="27" t="s">
        <v>104</v>
      </c>
      <c r="AH34" s="27" t="s">
        <v>1734</v>
      </c>
      <c r="AI34" s="27" t="s">
        <v>1735</v>
      </c>
      <c r="AJ34" s="27" t="s">
        <v>1736</v>
      </c>
      <c r="AK34" s="27" t="s">
        <v>1737</v>
      </c>
      <c r="AL34" s="27" t="s">
        <v>133</v>
      </c>
      <c r="AM34" s="27" t="s">
        <v>644</v>
      </c>
      <c r="AN34" s="27" t="s">
        <v>1738</v>
      </c>
      <c r="AO34" s="27" t="s">
        <v>1739</v>
      </c>
      <c r="AP34" s="27" t="s">
        <v>133</v>
      </c>
      <c r="AQ34" s="27" t="s">
        <v>394</v>
      </c>
      <c r="AR34" s="27" t="s">
        <v>1740</v>
      </c>
      <c r="AS34" s="27"/>
      <c r="AT34" s="27"/>
      <c r="AU34" s="27"/>
      <c r="AV34" s="27"/>
      <c r="AW34" s="27" t="s">
        <v>1741</v>
      </c>
      <c r="AX34" s="27" t="s">
        <v>1742</v>
      </c>
      <c r="AY34" s="27" t="s">
        <v>290</v>
      </c>
    </row>
    <row r="35" spans="1:51" x14ac:dyDescent="0.2">
      <c r="A35" s="24" t="s">
        <v>1743</v>
      </c>
      <c r="B35" s="24" t="s">
        <v>1744</v>
      </c>
      <c r="C35" s="24"/>
      <c r="D35" s="24" t="s">
        <v>431</v>
      </c>
      <c r="E35" s="25">
        <v>156572262</v>
      </c>
      <c r="F35" s="25">
        <v>48636000</v>
      </c>
      <c r="G35" s="26">
        <v>502</v>
      </c>
      <c r="H35" s="26">
        <v>775</v>
      </c>
      <c r="I35" s="24" t="s">
        <v>88</v>
      </c>
      <c r="J35" s="24" t="s">
        <v>89</v>
      </c>
      <c r="K35" s="24" t="s">
        <v>144</v>
      </c>
      <c r="L35" s="24" t="s">
        <v>145</v>
      </c>
      <c r="M35" s="24" t="s">
        <v>1745</v>
      </c>
      <c r="N35" s="26">
        <v>5</v>
      </c>
      <c r="O35" s="24" t="s">
        <v>1746</v>
      </c>
      <c r="P35" s="24" t="s">
        <v>1747</v>
      </c>
      <c r="Q35" s="24"/>
      <c r="R35" s="24" t="s">
        <v>1748</v>
      </c>
      <c r="S35" s="24" t="s">
        <v>1749</v>
      </c>
      <c r="T35" s="24" t="s">
        <v>29</v>
      </c>
      <c r="U35" s="24" t="s">
        <v>1750</v>
      </c>
      <c r="V35" s="24" t="s">
        <v>489</v>
      </c>
      <c r="W35" s="24" t="s">
        <v>1751</v>
      </c>
      <c r="X35" s="24" t="s">
        <v>100</v>
      </c>
      <c r="Y35" s="24" t="s">
        <v>489</v>
      </c>
      <c r="Z35" s="24" t="s">
        <v>1752</v>
      </c>
      <c r="AA35" s="24" t="s">
        <v>100</v>
      </c>
      <c r="AB35" s="24" t="s">
        <v>489</v>
      </c>
      <c r="AC35" s="24" t="s">
        <v>1753</v>
      </c>
      <c r="AD35" s="24" t="s">
        <v>100</v>
      </c>
      <c r="AE35" s="24" t="s">
        <v>489</v>
      </c>
      <c r="AF35" s="24" t="s">
        <v>1754</v>
      </c>
      <c r="AG35" s="24" t="s">
        <v>104</v>
      </c>
      <c r="AH35" s="24" t="s">
        <v>1755</v>
      </c>
      <c r="AI35" s="24" t="s">
        <v>1756</v>
      </c>
      <c r="AJ35" s="24" t="s">
        <v>1757</v>
      </c>
      <c r="AK35" s="24" t="s">
        <v>1758</v>
      </c>
      <c r="AL35" s="24" t="s">
        <v>133</v>
      </c>
      <c r="AM35" s="24" t="s">
        <v>489</v>
      </c>
      <c r="AN35" s="24" t="s">
        <v>1759</v>
      </c>
      <c r="AO35" s="24" t="s">
        <v>1760</v>
      </c>
      <c r="AP35" s="24" t="s">
        <v>133</v>
      </c>
      <c r="AQ35" s="24" t="s">
        <v>489</v>
      </c>
      <c r="AR35" s="24" t="s">
        <v>1761</v>
      </c>
      <c r="AS35" s="24" t="s">
        <v>1762</v>
      </c>
      <c r="AT35" s="24" t="s">
        <v>133</v>
      </c>
      <c r="AU35" s="24" t="s">
        <v>489</v>
      </c>
      <c r="AV35" s="24" t="s">
        <v>1763</v>
      </c>
      <c r="AW35" s="24" t="s">
        <v>1764</v>
      </c>
      <c r="AX35" s="24" t="s">
        <v>1765</v>
      </c>
      <c r="AY35" s="24" t="s">
        <v>115</v>
      </c>
    </row>
    <row r="36" spans="1:51" x14ac:dyDescent="0.2">
      <c r="A36" s="27" t="s">
        <v>1766</v>
      </c>
      <c r="B36" s="27" t="s">
        <v>1767</v>
      </c>
      <c r="C36" s="27"/>
      <c r="D36" s="27" t="s">
        <v>87</v>
      </c>
      <c r="E36" s="28">
        <v>150714292</v>
      </c>
      <c r="F36" s="28">
        <v>972000</v>
      </c>
      <c r="G36" s="29">
        <v>113</v>
      </c>
      <c r="H36" s="29">
        <v>853</v>
      </c>
      <c r="I36" s="27" t="s">
        <v>88</v>
      </c>
      <c r="J36" s="27" t="s">
        <v>89</v>
      </c>
      <c r="K36" s="27" t="s">
        <v>118</v>
      </c>
      <c r="L36" s="27" t="s">
        <v>119</v>
      </c>
      <c r="M36" s="27" t="s">
        <v>1768</v>
      </c>
      <c r="N36" s="29">
        <v>10</v>
      </c>
      <c r="O36" s="27" t="s">
        <v>1769</v>
      </c>
      <c r="P36" s="27" t="s">
        <v>1770</v>
      </c>
      <c r="Q36" s="27"/>
      <c r="R36" s="27" t="s">
        <v>1771</v>
      </c>
      <c r="S36" s="27" t="s">
        <v>1772</v>
      </c>
      <c r="T36" s="27" t="s">
        <v>29</v>
      </c>
      <c r="U36" s="27" t="s">
        <v>1773</v>
      </c>
      <c r="V36" s="27" t="s">
        <v>573</v>
      </c>
      <c r="W36" s="27" t="s">
        <v>1774</v>
      </c>
      <c r="X36" s="27" t="s">
        <v>100</v>
      </c>
      <c r="Y36" s="27" t="s">
        <v>573</v>
      </c>
      <c r="Z36" s="27" t="s">
        <v>1775</v>
      </c>
      <c r="AA36" s="27" t="s">
        <v>100</v>
      </c>
      <c r="AB36" s="27" t="s">
        <v>573</v>
      </c>
      <c r="AC36" s="27" t="s">
        <v>1776</v>
      </c>
      <c r="AD36" s="27" t="s">
        <v>104</v>
      </c>
      <c r="AE36" s="27"/>
      <c r="AF36" s="27"/>
      <c r="AG36" s="27"/>
      <c r="AH36" s="27" t="s">
        <v>1777</v>
      </c>
      <c r="AI36" s="27"/>
      <c r="AJ36" s="27"/>
      <c r="AK36" s="27" t="s">
        <v>1778</v>
      </c>
      <c r="AL36" s="27" t="s">
        <v>185</v>
      </c>
      <c r="AM36" s="27" t="s">
        <v>573</v>
      </c>
      <c r="AN36" s="27" t="s">
        <v>1779</v>
      </c>
      <c r="AO36" s="27" t="s">
        <v>1780</v>
      </c>
      <c r="AP36" s="27" t="s">
        <v>109</v>
      </c>
      <c r="AQ36" s="27" t="s">
        <v>573</v>
      </c>
      <c r="AR36" s="27" t="s">
        <v>1781</v>
      </c>
      <c r="AS36" s="27"/>
      <c r="AT36" s="27"/>
      <c r="AU36" s="27"/>
      <c r="AV36" s="27"/>
      <c r="AW36" s="27" t="s">
        <v>1782</v>
      </c>
      <c r="AX36" s="27" t="s">
        <v>1783</v>
      </c>
      <c r="AY36" s="27" t="s">
        <v>115</v>
      </c>
    </row>
    <row r="37" spans="1:51" x14ac:dyDescent="0.2">
      <c r="A37" s="24" t="s">
        <v>1784</v>
      </c>
      <c r="B37" s="24" t="s">
        <v>1785</v>
      </c>
      <c r="C37" s="24"/>
      <c r="D37" s="24" t="s">
        <v>431</v>
      </c>
      <c r="E37" s="25">
        <v>148486936</v>
      </c>
      <c r="F37" s="25">
        <v>100000</v>
      </c>
      <c r="G37" s="26">
        <v>161</v>
      </c>
      <c r="H37" s="26">
        <v>378</v>
      </c>
      <c r="I37" s="24" t="s">
        <v>219</v>
      </c>
      <c r="J37" s="24" t="s">
        <v>89</v>
      </c>
      <c r="K37" s="24" t="s">
        <v>271</v>
      </c>
      <c r="L37" s="24" t="s">
        <v>272</v>
      </c>
      <c r="M37" s="24" t="s">
        <v>1786</v>
      </c>
      <c r="N37" s="26">
        <v>0</v>
      </c>
      <c r="O37" s="24" t="s">
        <v>1787</v>
      </c>
      <c r="P37" s="24"/>
      <c r="Q37" s="24" t="s">
        <v>1788</v>
      </c>
      <c r="R37" s="24" t="s">
        <v>1789</v>
      </c>
      <c r="S37" s="24" t="s">
        <v>1790</v>
      </c>
      <c r="T37" s="24" t="s">
        <v>31</v>
      </c>
      <c r="U37" s="24" t="s">
        <v>1791</v>
      </c>
      <c r="V37" s="24" t="s">
        <v>1021</v>
      </c>
      <c r="W37" s="24" t="s">
        <v>1792</v>
      </c>
      <c r="X37" s="24" t="s">
        <v>100</v>
      </c>
      <c r="Y37" s="24" t="s">
        <v>1021</v>
      </c>
      <c r="Z37" s="24" t="s">
        <v>1793</v>
      </c>
      <c r="AA37" s="24" t="s">
        <v>100</v>
      </c>
      <c r="AB37" s="24"/>
      <c r="AC37" s="24"/>
      <c r="AD37" s="24"/>
      <c r="AE37" s="24"/>
      <c r="AF37" s="24"/>
      <c r="AG37" s="24"/>
      <c r="AH37" s="24" t="s">
        <v>1794</v>
      </c>
      <c r="AI37" s="24" t="s">
        <v>1795</v>
      </c>
      <c r="AJ37" s="24"/>
      <c r="AK37" s="24" t="s">
        <v>1796</v>
      </c>
      <c r="AL37" s="24" t="s">
        <v>328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 t="s">
        <v>1797</v>
      </c>
      <c r="AX37" s="24" t="s">
        <v>1798</v>
      </c>
      <c r="AY37" s="24" t="s">
        <v>115</v>
      </c>
    </row>
    <row r="38" spans="1:51" x14ac:dyDescent="0.2">
      <c r="A38" s="27" t="s">
        <v>1799</v>
      </c>
      <c r="B38" s="27" t="s">
        <v>1800</v>
      </c>
      <c r="C38" s="27" t="s">
        <v>1801</v>
      </c>
      <c r="D38" s="27" t="s">
        <v>87</v>
      </c>
      <c r="E38" s="28">
        <v>143094858</v>
      </c>
      <c r="F38" s="28">
        <v>2310000</v>
      </c>
      <c r="G38" s="29">
        <v>39</v>
      </c>
      <c r="H38" s="29">
        <v>138</v>
      </c>
      <c r="I38" s="27" t="s">
        <v>1802</v>
      </c>
      <c r="J38" s="27" t="s">
        <v>89</v>
      </c>
      <c r="K38" s="27" t="s">
        <v>90</v>
      </c>
      <c r="L38" s="27" t="s">
        <v>91</v>
      </c>
      <c r="M38" s="27" t="s">
        <v>1803</v>
      </c>
      <c r="N38" s="29">
        <v>6</v>
      </c>
      <c r="O38" s="27" t="s">
        <v>1804</v>
      </c>
      <c r="P38" s="27" t="s">
        <v>1805</v>
      </c>
      <c r="Q38" s="27" t="s">
        <v>1806</v>
      </c>
      <c r="R38" s="27" t="s">
        <v>1807</v>
      </c>
      <c r="S38" s="27" t="s">
        <v>1808</v>
      </c>
      <c r="T38" s="27" t="s">
        <v>26</v>
      </c>
      <c r="U38" s="27" t="s">
        <v>1809</v>
      </c>
      <c r="V38" s="27" t="s">
        <v>852</v>
      </c>
      <c r="W38" s="27" t="s">
        <v>1810</v>
      </c>
      <c r="X38" s="27" t="s">
        <v>100</v>
      </c>
      <c r="Y38" s="27" t="s">
        <v>852</v>
      </c>
      <c r="Z38" s="27" t="s">
        <v>1811</v>
      </c>
      <c r="AA38" s="27" t="s">
        <v>100</v>
      </c>
      <c r="AB38" s="27" t="s">
        <v>852</v>
      </c>
      <c r="AC38" s="27" t="s">
        <v>1812</v>
      </c>
      <c r="AD38" s="27" t="s">
        <v>100</v>
      </c>
      <c r="AE38" s="27" t="s">
        <v>852</v>
      </c>
      <c r="AF38" s="27" t="s">
        <v>1813</v>
      </c>
      <c r="AG38" s="27" t="s">
        <v>104</v>
      </c>
      <c r="AH38" s="27" t="s">
        <v>1814</v>
      </c>
      <c r="AI38" s="27" t="s">
        <v>1815</v>
      </c>
      <c r="AJ38" s="27"/>
      <c r="AK38" s="27" t="s">
        <v>1816</v>
      </c>
      <c r="AL38" s="27" t="s">
        <v>185</v>
      </c>
      <c r="AM38" s="27" t="s">
        <v>852</v>
      </c>
      <c r="AN38" s="27" t="s">
        <v>1811</v>
      </c>
      <c r="AO38" s="27" t="s">
        <v>1817</v>
      </c>
      <c r="AP38" s="27" t="s">
        <v>109</v>
      </c>
      <c r="AQ38" s="27" t="s">
        <v>852</v>
      </c>
      <c r="AR38" s="27" t="s">
        <v>1818</v>
      </c>
      <c r="AS38" s="27"/>
      <c r="AT38" s="27"/>
      <c r="AU38" s="27"/>
      <c r="AV38" s="27"/>
      <c r="AW38" s="27" t="s">
        <v>1819</v>
      </c>
      <c r="AX38" s="27" t="s">
        <v>1820</v>
      </c>
      <c r="AY38" s="27" t="s">
        <v>290</v>
      </c>
    </row>
    <row r="39" spans="1:51" x14ac:dyDescent="0.2">
      <c r="A39" s="24" t="s">
        <v>1821</v>
      </c>
      <c r="B39" s="24" t="s">
        <v>1822</v>
      </c>
      <c r="C39" s="24"/>
      <c r="D39" s="24" t="s">
        <v>87</v>
      </c>
      <c r="E39" s="25">
        <v>135460852</v>
      </c>
      <c r="F39" s="25">
        <v>3509378</v>
      </c>
      <c r="G39" s="26">
        <v>145</v>
      </c>
      <c r="H39" s="26">
        <v>880</v>
      </c>
      <c r="I39" s="24" t="s">
        <v>88</v>
      </c>
      <c r="J39" s="24" t="s">
        <v>89</v>
      </c>
      <c r="K39" s="24" t="s">
        <v>90</v>
      </c>
      <c r="L39" s="24" t="s">
        <v>91</v>
      </c>
      <c r="M39" s="24" t="s">
        <v>1823</v>
      </c>
      <c r="N39" s="26">
        <v>12</v>
      </c>
      <c r="O39" s="24" t="s">
        <v>1824</v>
      </c>
      <c r="P39" s="24"/>
      <c r="Q39" s="24" t="s">
        <v>1788</v>
      </c>
      <c r="R39" s="24" t="s">
        <v>1825</v>
      </c>
      <c r="S39" s="24" t="s">
        <v>1826</v>
      </c>
      <c r="T39" s="24" t="s">
        <v>19</v>
      </c>
      <c r="U39" s="24" t="s">
        <v>1827</v>
      </c>
      <c r="V39" s="24" t="s">
        <v>1654</v>
      </c>
      <c r="W39" s="24" t="s">
        <v>1828</v>
      </c>
      <c r="X39" s="24" t="s">
        <v>100</v>
      </c>
      <c r="Y39" s="24" t="s">
        <v>1654</v>
      </c>
      <c r="Z39" s="24" t="s">
        <v>1829</v>
      </c>
      <c r="AA39" s="24" t="s">
        <v>104</v>
      </c>
      <c r="AB39" s="24"/>
      <c r="AC39" s="24"/>
      <c r="AD39" s="24"/>
      <c r="AE39" s="24"/>
      <c r="AF39" s="24"/>
      <c r="AG39" s="24"/>
      <c r="AH39" s="24" t="s">
        <v>1830</v>
      </c>
      <c r="AI39" s="24" t="s">
        <v>1831</v>
      </c>
      <c r="AJ39" s="24" t="s">
        <v>1832</v>
      </c>
      <c r="AK39" s="24" t="s">
        <v>1833</v>
      </c>
      <c r="AL39" s="24" t="s">
        <v>185</v>
      </c>
      <c r="AM39" s="24" t="s">
        <v>1654</v>
      </c>
      <c r="AN39" s="24" t="s">
        <v>1834</v>
      </c>
      <c r="AO39" s="24" t="s">
        <v>1835</v>
      </c>
      <c r="AP39" s="24" t="s">
        <v>109</v>
      </c>
      <c r="AQ39" s="24" t="s">
        <v>1654</v>
      </c>
      <c r="AR39" s="24" t="s">
        <v>1836</v>
      </c>
      <c r="AS39" s="24"/>
      <c r="AT39" s="24"/>
      <c r="AU39" s="24"/>
      <c r="AV39" s="24"/>
      <c r="AW39" s="24" t="s">
        <v>1837</v>
      </c>
      <c r="AX39" s="24" t="s">
        <v>1838</v>
      </c>
      <c r="AY39" s="24" t="s">
        <v>115</v>
      </c>
    </row>
    <row r="40" spans="1:51" x14ac:dyDescent="0.2">
      <c r="A40" s="27" t="s">
        <v>1839</v>
      </c>
      <c r="B40" s="27" t="s">
        <v>1840</v>
      </c>
      <c r="C40" s="27"/>
      <c r="D40" s="27" t="s">
        <v>87</v>
      </c>
      <c r="E40" s="28">
        <v>131924296</v>
      </c>
      <c r="F40" s="28">
        <v>15000000</v>
      </c>
      <c r="G40" s="29">
        <v>34</v>
      </c>
      <c r="H40" s="29">
        <v>731</v>
      </c>
      <c r="I40" s="27" t="s">
        <v>88</v>
      </c>
      <c r="J40" s="27" t="s">
        <v>89</v>
      </c>
      <c r="K40" s="27" t="s">
        <v>90</v>
      </c>
      <c r="L40" s="27" t="s">
        <v>91</v>
      </c>
      <c r="M40" s="27" t="s">
        <v>1841</v>
      </c>
      <c r="N40" s="29">
        <v>6</v>
      </c>
      <c r="O40" s="27" t="s">
        <v>1842</v>
      </c>
      <c r="P40" s="27" t="s">
        <v>1843</v>
      </c>
      <c r="Q40" s="27" t="s">
        <v>1844</v>
      </c>
      <c r="R40" s="27" t="s">
        <v>1845</v>
      </c>
      <c r="S40" s="27" t="s">
        <v>301</v>
      </c>
      <c r="T40" s="27" t="s">
        <v>31</v>
      </c>
      <c r="U40" s="27" t="s">
        <v>1846</v>
      </c>
      <c r="V40" s="27" t="s">
        <v>98</v>
      </c>
      <c r="W40" s="27" t="s">
        <v>1847</v>
      </c>
      <c r="X40" s="27" t="s">
        <v>100</v>
      </c>
      <c r="Y40" s="27" t="s">
        <v>98</v>
      </c>
      <c r="Z40" s="27" t="s">
        <v>1848</v>
      </c>
      <c r="AA40" s="27" t="s">
        <v>100</v>
      </c>
      <c r="AB40" s="27" t="s">
        <v>98</v>
      </c>
      <c r="AC40" s="27" t="s">
        <v>1849</v>
      </c>
      <c r="AD40" s="27" t="s">
        <v>100</v>
      </c>
      <c r="AE40" s="27" t="s">
        <v>98</v>
      </c>
      <c r="AF40" s="27" t="s">
        <v>1850</v>
      </c>
      <c r="AG40" s="27" t="s">
        <v>104</v>
      </c>
      <c r="AH40" s="27" t="s">
        <v>1851</v>
      </c>
      <c r="AI40" s="27" t="s">
        <v>1852</v>
      </c>
      <c r="AJ40" s="27" t="s">
        <v>1853</v>
      </c>
      <c r="AK40" s="27" t="s">
        <v>1854</v>
      </c>
      <c r="AL40" s="27" t="s">
        <v>109</v>
      </c>
      <c r="AM40" s="27" t="s">
        <v>98</v>
      </c>
      <c r="AN40" s="27" t="s">
        <v>1855</v>
      </c>
      <c r="AO40" s="27" t="s">
        <v>1856</v>
      </c>
      <c r="AP40" s="27" t="s">
        <v>109</v>
      </c>
      <c r="AQ40" s="27" t="s">
        <v>252</v>
      </c>
      <c r="AR40" s="27" t="s">
        <v>1857</v>
      </c>
      <c r="AS40" s="27"/>
      <c r="AT40" s="27"/>
      <c r="AU40" s="27"/>
      <c r="AV40" s="27"/>
      <c r="AW40" s="27" t="s">
        <v>1858</v>
      </c>
      <c r="AX40" s="27" t="s">
        <v>1859</v>
      </c>
      <c r="AY40" s="27" t="s">
        <v>115</v>
      </c>
    </row>
    <row r="41" spans="1:51" x14ac:dyDescent="0.2">
      <c r="A41" s="24" t="s">
        <v>1860</v>
      </c>
      <c r="B41" s="24" t="s">
        <v>1861</v>
      </c>
      <c r="C41" s="24"/>
      <c r="D41" s="24" t="s">
        <v>431</v>
      </c>
      <c r="E41" s="25">
        <v>125991332</v>
      </c>
      <c r="F41" s="25">
        <v>40643908</v>
      </c>
      <c r="G41" s="26">
        <v>290</v>
      </c>
      <c r="H41" s="26">
        <v>429</v>
      </c>
      <c r="I41" s="24" t="s">
        <v>219</v>
      </c>
      <c r="J41" s="24" t="s">
        <v>89</v>
      </c>
      <c r="K41" s="24" t="s">
        <v>90</v>
      </c>
      <c r="L41" s="24" t="s">
        <v>91</v>
      </c>
      <c r="M41" s="24" t="s">
        <v>1862</v>
      </c>
      <c r="N41" s="26">
        <v>8</v>
      </c>
      <c r="O41" s="24" t="s">
        <v>1863</v>
      </c>
      <c r="P41" s="24" t="s">
        <v>1864</v>
      </c>
      <c r="Q41" s="24" t="s">
        <v>1865</v>
      </c>
      <c r="R41" s="24" t="s">
        <v>1866</v>
      </c>
      <c r="S41" s="24" t="s">
        <v>1867</v>
      </c>
      <c r="T41" s="24" t="s">
        <v>29</v>
      </c>
      <c r="U41" s="24" t="s">
        <v>1868</v>
      </c>
      <c r="V41" s="24" t="s">
        <v>489</v>
      </c>
      <c r="W41" s="24" t="s">
        <v>1869</v>
      </c>
      <c r="X41" s="24" t="s">
        <v>100</v>
      </c>
      <c r="Y41" s="24" t="s">
        <v>489</v>
      </c>
      <c r="Z41" s="24" t="s">
        <v>1870</v>
      </c>
      <c r="AA41" s="24" t="s">
        <v>100</v>
      </c>
      <c r="AB41" s="24" t="s">
        <v>489</v>
      </c>
      <c r="AC41" s="24" t="s">
        <v>1871</v>
      </c>
      <c r="AD41" s="24" t="s">
        <v>100</v>
      </c>
      <c r="AE41" s="24" t="s">
        <v>489</v>
      </c>
      <c r="AF41" s="24" t="s">
        <v>1872</v>
      </c>
      <c r="AG41" s="24" t="s">
        <v>104</v>
      </c>
      <c r="AH41" s="24" t="s">
        <v>1873</v>
      </c>
      <c r="AI41" s="24" t="s">
        <v>1874</v>
      </c>
      <c r="AJ41" s="24"/>
      <c r="AK41" s="24" t="s">
        <v>1875</v>
      </c>
      <c r="AL41" s="24" t="s">
        <v>133</v>
      </c>
      <c r="AM41" s="24" t="s">
        <v>489</v>
      </c>
      <c r="AN41" s="24" t="s">
        <v>1876</v>
      </c>
      <c r="AO41" s="24" t="s">
        <v>1877</v>
      </c>
      <c r="AP41" s="24" t="s">
        <v>163</v>
      </c>
      <c r="AQ41" s="24" t="s">
        <v>489</v>
      </c>
      <c r="AR41" s="24" t="s">
        <v>1878</v>
      </c>
      <c r="AS41" s="24"/>
      <c r="AT41" s="24"/>
      <c r="AU41" s="24"/>
      <c r="AV41" s="24"/>
      <c r="AW41" s="24" t="s">
        <v>1879</v>
      </c>
      <c r="AX41" s="24" t="s">
        <v>1880</v>
      </c>
      <c r="AY41" s="24" t="s">
        <v>115</v>
      </c>
    </row>
    <row r="42" spans="1:51" x14ac:dyDescent="0.2">
      <c r="A42" s="27" t="s">
        <v>1881</v>
      </c>
      <c r="B42" s="27" t="s">
        <v>1882</v>
      </c>
      <c r="C42" s="27"/>
      <c r="D42" s="27" t="s">
        <v>431</v>
      </c>
      <c r="E42" s="28">
        <v>122103228</v>
      </c>
      <c r="F42" s="28">
        <v>55998000</v>
      </c>
      <c r="G42" s="29">
        <v>181</v>
      </c>
      <c r="H42" s="29">
        <v>329</v>
      </c>
      <c r="I42" s="27" t="s">
        <v>219</v>
      </c>
      <c r="J42" s="27" t="s">
        <v>89</v>
      </c>
      <c r="K42" s="27" t="s">
        <v>271</v>
      </c>
      <c r="L42" s="27" t="s">
        <v>272</v>
      </c>
      <c r="M42" s="27" t="s">
        <v>1883</v>
      </c>
      <c r="N42" s="29">
        <v>4</v>
      </c>
      <c r="O42" s="27" t="s">
        <v>1884</v>
      </c>
      <c r="P42" s="27" t="s">
        <v>1885</v>
      </c>
      <c r="Q42" s="27"/>
      <c r="R42" s="27" t="s">
        <v>1886</v>
      </c>
      <c r="S42" s="27" t="s">
        <v>1887</v>
      </c>
      <c r="T42" s="27" t="s">
        <v>31</v>
      </c>
      <c r="U42" s="27" t="s">
        <v>1888</v>
      </c>
      <c r="V42" s="27" t="s">
        <v>397</v>
      </c>
      <c r="W42" s="27" t="s">
        <v>1889</v>
      </c>
      <c r="X42" s="27" t="s">
        <v>100</v>
      </c>
      <c r="Y42" s="27" t="s">
        <v>397</v>
      </c>
      <c r="Z42" s="27" t="s">
        <v>1890</v>
      </c>
      <c r="AA42" s="27" t="s">
        <v>100</v>
      </c>
      <c r="AB42" s="27" t="s">
        <v>98</v>
      </c>
      <c r="AC42" s="27" t="s">
        <v>1891</v>
      </c>
      <c r="AD42" s="27" t="s">
        <v>104</v>
      </c>
      <c r="AE42" s="27"/>
      <c r="AF42" s="27"/>
      <c r="AG42" s="27"/>
      <c r="AH42" s="27" t="s">
        <v>1892</v>
      </c>
      <c r="AI42" s="27"/>
      <c r="AJ42" s="27"/>
      <c r="AK42" s="27" t="s">
        <v>1893</v>
      </c>
      <c r="AL42" s="27" t="s">
        <v>136</v>
      </c>
      <c r="AM42" s="27" t="s">
        <v>98</v>
      </c>
      <c r="AN42" s="27" t="s">
        <v>1894</v>
      </c>
      <c r="AO42" s="27" t="s">
        <v>1895</v>
      </c>
      <c r="AP42" s="27" t="s">
        <v>163</v>
      </c>
      <c r="AQ42" s="27" t="s">
        <v>98</v>
      </c>
      <c r="AR42" s="27" t="s">
        <v>1891</v>
      </c>
      <c r="AS42" s="27" t="s">
        <v>1896</v>
      </c>
      <c r="AT42" s="27" t="s">
        <v>163</v>
      </c>
      <c r="AU42" s="27" t="s">
        <v>98</v>
      </c>
      <c r="AV42" s="27" t="s">
        <v>1897</v>
      </c>
      <c r="AW42" s="27" t="s">
        <v>1898</v>
      </c>
      <c r="AX42" s="27" t="s">
        <v>1899</v>
      </c>
      <c r="AY42" s="27" t="s">
        <v>290</v>
      </c>
    </row>
    <row r="43" spans="1:51" x14ac:dyDescent="0.2">
      <c r="A43" s="24" t="s">
        <v>1900</v>
      </c>
      <c r="B43" s="24" t="s">
        <v>1901</v>
      </c>
      <c r="C43" s="24"/>
      <c r="D43" s="24" t="s">
        <v>431</v>
      </c>
      <c r="E43" s="25">
        <v>118104650</v>
      </c>
      <c r="F43" s="25">
        <v>4000000</v>
      </c>
      <c r="G43" s="26">
        <v>2</v>
      </c>
      <c r="H43" s="26">
        <v>634</v>
      </c>
      <c r="I43" s="24" t="s">
        <v>143</v>
      </c>
      <c r="J43" s="24" t="s">
        <v>89</v>
      </c>
      <c r="K43" s="24" t="s">
        <v>1225</v>
      </c>
      <c r="L43" s="24" t="s">
        <v>1226</v>
      </c>
      <c r="M43" s="24" t="s">
        <v>1902</v>
      </c>
      <c r="N43" s="26">
        <v>1</v>
      </c>
      <c r="O43" s="24" t="s">
        <v>1903</v>
      </c>
      <c r="P43" s="24" t="s">
        <v>1904</v>
      </c>
      <c r="Q43" s="24" t="s">
        <v>1905</v>
      </c>
      <c r="R43" s="24" t="s">
        <v>1187</v>
      </c>
      <c r="S43" s="24" t="s">
        <v>1906</v>
      </c>
      <c r="T43" s="24" t="s">
        <v>21</v>
      </c>
      <c r="U43" s="24" t="s">
        <v>1907</v>
      </c>
      <c r="V43" s="24" t="s">
        <v>126</v>
      </c>
      <c r="W43" s="24" t="s">
        <v>1908</v>
      </c>
      <c r="X43" s="24" t="s">
        <v>104</v>
      </c>
      <c r="Y43" s="24"/>
      <c r="Z43" s="24"/>
      <c r="AA43" s="24"/>
      <c r="AB43" s="24"/>
      <c r="AC43" s="24"/>
      <c r="AD43" s="24"/>
      <c r="AE43" s="24"/>
      <c r="AF43" s="24"/>
      <c r="AG43" s="24"/>
      <c r="AH43" s="24" t="s">
        <v>1909</v>
      </c>
      <c r="AI43" s="24"/>
      <c r="AJ43" s="24"/>
      <c r="AK43" s="24" t="s">
        <v>1910</v>
      </c>
      <c r="AL43" s="24" t="s">
        <v>163</v>
      </c>
      <c r="AM43" s="24" t="s">
        <v>126</v>
      </c>
      <c r="AN43" s="24" t="s">
        <v>1911</v>
      </c>
      <c r="AO43" s="24" t="s">
        <v>1912</v>
      </c>
      <c r="AP43" s="24" t="s">
        <v>133</v>
      </c>
      <c r="AQ43" s="24" t="s">
        <v>126</v>
      </c>
      <c r="AR43" s="24" t="s">
        <v>1913</v>
      </c>
      <c r="AS43" s="24" t="s">
        <v>1914</v>
      </c>
      <c r="AT43" s="24" t="s">
        <v>136</v>
      </c>
      <c r="AU43" s="24" t="s">
        <v>126</v>
      </c>
      <c r="AV43" s="24" t="s">
        <v>1915</v>
      </c>
      <c r="AW43" s="24" t="s">
        <v>1916</v>
      </c>
      <c r="AX43" s="24" t="s">
        <v>1917</v>
      </c>
      <c r="AY43" s="24" t="s">
        <v>115</v>
      </c>
    </row>
    <row r="44" spans="1:51" x14ac:dyDescent="0.2">
      <c r="A44" s="27" t="s">
        <v>1918</v>
      </c>
      <c r="B44" s="27" t="s">
        <v>1919</v>
      </c>
      <c r="C44" s="27" t="s">
        <v>1920</v>
      </c>
      <c r="D44" s="27" t="s">
        <v>87</v>
      </c>
      <c r="E44" s="28">
        <v>115739349</v>
      </c>
      <c r="F44" s="28">
        <v>250000</v>
      </c>
      <c r="G44" s="29">
        <v>384</v>
      </c>
      <c r="H44" s="29">
        <v>942</v>
      </c>
      <c r="I44" s="27" t="s">
        <v>88</v>
      </c>
      <c r="J44" s="27" t="s">
        <v>89</v>
      </c>
      <c r="K44" s="27" t="s">
        <v>90</v>
      </c>
      <c r="L44" s="27" t="s">
        <v>91</v>
      </c>
      <c r="M44" s="27" t="s">
        <v>1921</v>
      </c>
      <c r="N44" s="29">
        <v>6</v>
      </c>
      <c r="O44" s="27" t="s">
        <v>1922</v>
      </c>
      <c r="P44" s="27" t="s">
        <v>1923</v>
      </c>
      <c r="Q44" s="27" t="s">
        <v>1924</v>
      </c>
      <c r="R44" s="27" t="s">
        <v>1925</v>
      </c>
      <c r="S44" s="27" t="s">
        <v>1926</v>
      </c>
      <c r="T44" s="27" t="s">
        <v>28</v>
      </c>
      <c r="U44" s="27" t="s">
        <v>1927</v>
      </c>
      <c r="V44" s="27" t="s">
        <v>394</v>
      </c>
      <c r="W44" s="27" t="s">
        <v>1928</v>
      </c>
      <c r="X44" s="27" t="s">
        <v>100</v>
      </c>
      <c r="Y44" s="27" t="s">
        <v>252</v>
      </c>
      <c r="Z44" s="27" t="s">
        <v>1929</v>
      </c>
      <c r="AA44" s="27" t="s">
        <v>100</v>
      </c>
      <c r="AB44" s="27" t="s">
        <v>394</v>
      </c>
      <c r="AC44" s="27" t="s">
        <v>1930</v>
      </c>
      <c r="AD44" s="27" t="s">
        <v>100</v>
      </c>
      <c r="AE44" s="27" t="s">
        <v>394</v>
      </c>
      <c r="AF44" s="27" t="s">
        <v>1931</v>
      </c>
      <c r="AG44" s="27" t="s">
        <v>104</v>
      </c>
      <c r="AH44" s="27" t="s">
        <v>1932</v>
      </c>
      <c r="AI44" s="27" t="s">
        <v>1933</v>
      </c>
      <c r="AJ44" s="27" t="s">
        <v>1934</v>
      </c>
      <c r="AK44" s="27" t="s">
        <v>1935</v>
      </c>
      <c r="AL44" s="27" t="s">
        <v>328</v>
      </c>
      <c r="AM44" s="27" t="s">
        <v>394</v>
      </c>
      <c r="AN44" s="27" t="s">
        <v>1936</v>
      </c>
      <c r="AO44" s="27"/>
      <c r="AP44" s="27"/>
      <c r="AQ44" s="27"/>
      <c r="AR44" s="27"/>
      <c r="AS44" s="27"/>
      <c r="AT44" s="27"/>
      <c r="AU44" s="27"/>
      <c r="AV44" s="27"/>
      <c r="AW44" s="27" t="s">
        <v>1937</v>
      </c>
      <c r="AX44" s="27" t="s">
        <v>1938</v>
      </c>
      <c r="AY44" s="27" t="s">
        <v>115</v>
      </c>
    </row>
    <row r="45" spans="1:51" x14ac:dyDescent="0.2">
      <c r="A45" s="24" t="s">
        <v>1939</v>
      </c>
      <c r="B45" s="24" t="s">
        <v>1940</v>
      </c>
      <c r="C45" s="24"/>
      <c r="D45" s="24" t="s">
        <v>431</v>
      </c>
      <c r="E45" s="25">
        <v>113908558</v>
      </c>
      <c r="F45" s="25">
        <v>9215617</v>
      </c>
      <c r="G45" s="26">
        <v>11</v>
      </c>
      <c r="H45" s="26">
        <v>271</v>
      </c>
      <c r="I45" s="24" t="s">
        <v>270</v>
      </c>
      <c r="J45" s="24" t="s">
        <v>89</v>
      </c>
      <c r="K45" s="24" t="s">
        <v>407</v>
      </c>
      <c r="L45" s="24" t="s">
        <v>408</v>
      </c>
      <c r="M45" s="24" t="s">
        <v>1941</v>
      </c>
      <c r="N45" s="26">
        <v>1</v>
      </c>
      <c r="O45" s="24" t="s">
        <v>1942</v>
      </c>
      <c r="P45" s="24" t="s">
        <v>1943</v>
      </c>
      <c r="Q45" s="24"/>
      <c r="R45" s="24" t="s">
        <v>1944</v>
      </c>
      <c r="S45" s="24" t="s">
        <v>1188</v>
      </c>
      <c r="T45" s="24" t="s">
        <v>26</v>
      </c>
      <c r="U45" s="24" t="s">
        <v>1945</v>
      </c>
      <c r="V45" s="24" t="s">
        <v>252</v>
      </c>
      <c r="W45" s="24" t="s">
        <v>1946</v>
      </c>
      <c r="X45" s="24" t="s">
        <v>100</v>
      </c>
      <c r="Y45" s="24" t="s">
        <v>252</v>
      </c>
      <c r="Z45" s="24" t="s">
        <v>1947</v>
      </c>
      <c r="AA45" s="24" t="s">
        <v>100</v>
      </c>
      <c r="AB45" s="24" t="s">
        <v>252</v>
      </c>
      <c r="AC45" s="24" t="s">
        <v>1948</v>
      </c>
      <c r="AD45" s="24" t="s">
        <v>100</v>
      </c>
      <c r="AE45" s="24" t="s">
        <v>252</v>
      </c>
      <c r="AF45" s="24" t="s">
        <v>1949</v>
      </c>
      <c r="AG45" s="24" t="s">
        <v>104</v>
      </c>
      <c r="AH45" s="24" t="s">
        <v>1950</v>
      </c>
      <c r="AI45" s="24"/>
      <c r="AJ45" s="24"/>
      <c r="AK45" s="24" t="s">
        <v>1951</v>
      </c>
      <c r="AL45" s="24" t="s">
        <v>133</v>
      </c>
      <c r="AM45" s="24"/>
      <c r="AN45" s="24"/>
      <c r="AO45" s="24" t="s">
        <v>1952</v>
      </c>
      <c r="AP45" s="24" t="s">
        <v>136</v>
      </c>
      <c r="AQ45" s="24" t="s">
        <v>252</v>
      </c>
      <c r="AR45" s="24" t="s">
        <v>1953</v>
      </c>
      <c r="AS45" s="24" t="s">
        <v>1954</v>
      </c>
      <c r="AT45" s="24" t="s">
        <v>136</v>
      </c>
      <c r="AU45" s="24" t="s">
        <v>252</v>
      </c>
      <c r="AV45" s="24" t="s">
        <v>1955</v>
      </c>
      <c r="AW45" s="24" t="s">
        <v>1956</v>
      </c>
      <c r="AX45" s="24" t="s">
        <v>1957</v>
      </c>
      <c r="AY45" s="24" t="s">
        <v>115</v>
      </c>
    </row>
    <row r="46" spans="1:51" x14ac:dyDescent="0.2">
      <c r="A46" s="27" t="s">
        <v>1958</v>
      </c>
      <c r="B46" s="27" t="s">
        <v>1959</v>
      </c>
      <c r="C46" s="27" t="s">
        <v>1960</v>
      </c>
      <c r="D46" s="27" t="s">
        <v>431</v>
      </c>
      <c r="E46" s="28">
        <v>112836243</v>
      </c>
      <c r="F46" s="28">
        <v>40000000</v>
      </c>
      <c r="G46" s="29">
        <v>326</v>
      </c>
      <c r="H46" s="29">
        <v>833</v>
      </c>
      <c r="I46" s="27" t="s">
        <v>88</v>
      </c>
      <c r="J46" s="27" t="s">
        <v>89</v>
      </c>
      <c r="K46" s="27" t="s">
        <v>1225</v>
      </c>
      <c r="L46" s="27" t="s">
        <v>1226</v>
      </c>
      <c r="M46" s="27" t="s">
        <v>1961</v>
      </c>
      <c r="N46" s="29">
        <v>6</v>
      </c>
      <c r="O46" s="27" t="s">
        <v>1962</v>
      </c>
      <c r="P46" s="27"/>
      <c r="Q46" s="27" t="s">
        <v>1963</v>
      </c>
      <c r="R46" s="27" t="s">
        <v>1964</v>
      </c>
      <c r="S46" s="27" t="s">
        <v>1965</v>
      </c>
      <c r="T46" s="27" t="s">
        <v>14</v>
      </c>
      <c r="U46" s="27" t="s">
        <v>1966</v>
      </c>
      <c r="V46" s="27" t="s">
        <v>1967</v>
      </c>
      <c r="W46" s="27" t="s">
        <v>1968</v>
      </c>
      <c r="X46" s="27" t="s">
        <v>100</v>
      </c>
      <c r="Y46" s="27" t="s">
        <v>1967</v>
      </c>
      <c r="Z46" s="27" t="s">
        <v>1969</v>
      </c>
      <c r="AA46" s="27" t="s">
        <v>104</v>
      </c>
      <c r="AB46" s="27"/>
      <c r="AC46" s="27"/>
      <c r="AD46" s="27"/>
      <c r="AE46" s="27"/>
      <c r="AF46" s="27"/>
      <c r="AG46" s="27"/>
      <c r="AH46" s="27"/>
      <c r="AI46" s="27"/>
      <c r="AJ46" s="27"/>
      <c r="AK46" s="27" t="s">
        <v>1970</v>
      </c>
      <c r="AL46" s="27" t="s">
        <v>133</v>
      </c>
      <c r="AM46" s="27" t="s">
        <v>1971</v>
      </c>
      <c r="AN46" s="27" t="s">
        <v>1972</v>
      </c>
      <c r="AO46" s="27" t="s">
        <v>1973</v>
      </c>
      <c r="AP46" s="27" t="s">
        <v>133</v>
      </c>
      <c r="AQ46" s="27" t="s">
        <v>1967</v>
      </c>
      <c r="AR46" s="27" t="s">
        <v>1974</v>
      </c>
      <c r="AS46" s="27" t="s">
        <v>1975</v>
      </c>
      <c r="AT46" s="27" t="s">
        <v>163</v>
      </c>
      <c r="AU46" s="27" t="s">
        <v>1967</v>
      </c>
      <c r="AV46" s="27" t="s">
        <v>1976</v>
      </c>
      <c r="AW46" s="27" t="s">
        <v>1977</v>
      </c>
      <c r="AX46" s="27" t="s">
        <v>1978</v>
      </c>
      <c r="AY46" s="27" t="s">
        <v>290</v>
      </c>
    </row>
    <row r="47" spans="1:51" x14ac:dyDescent="0.2">
      <c r="A47" s="24" t="s">
        <v>1979</v>
      </c>
      <c r="B47" s="24" t="s">
        <v>1980</v>
      </c>
      <c r="C47" s="24"/>
      <c r="D47" s="24" t="s">
        <v>87</v>
      </c>
      <c r="E47" s="25">
        <v>110871873</v>
      </c>
      <c r="F47" s="25">
        <v>137600098</v>
      </c>
      <c r="G47" s="26">
        <v>108</v>
      </c>
      <c r="H47" s="26">
        <v>486</v>
      </c>
      <c r="I47" s="24" t="s">
        <v>219</v>
      </c>
      <c r="J47" s="24" t="s">
        <v>89</v>
      </c>
      <c r="K47" s="24" t="s">
        <v>220</v>
      </c>
      <c r="L47" s="24" t="s">
        <v>221</v>
      </c>
      <c r="M47" s="24" t="s">
        <v>1981</v>
      </c>
      <c r="N47" s="26">
        <v>15</v>
      </c>
      <c r="O47" s="24" t="s">
        <v>1626</v>
      </c>
      <c r="P47" s="24" t="s">
        <v>1627</v>
      </c>
      <c r="Q47" s="24" t="s">
        <v>1982</v>
      </c>
      <c r="R47" s="24" t="s">
        <v>1629</v>
      </c>
      <c r="S47" s="24" t="s">
        <v>437</v>
      </c>
      <c r="T47" s="24" t="s">
        <v>27</v>
      </c>
      <c r="U47" s="24" t="s">
        <v>1630</v>
      </c>
      <c r="V47" s="24" t="s">
        <v>439</v>
      </c>
      <c r="W47" s="24" t="s">
        <v>1983</v>
      </c>
      <c r="X47" s="24" t="s">
        <v>100</v>
      </c>
      <c r="Y47" s="24" t="s">
        <v>439</v>
      </c>
      <c r="Z47" s="24" t="s">
        <v>1984</v>
      </c>
      <c r="AA47" s="24" t="s">
        <v>100</v>
      </c>
      <c r="AB47" s="24" t="s">
        <v>439</v>
      </c>
      <c r="AC47" s="24" t="s">
        <v>1985</v>
      </c>
      <c r="AD47" s="24" t="s">
        <v>100</v>
      </c>
      <c r="AE47" s="24" t="s">
        <v>439</v>
      </c>
      <c r="AF47" s="24" t="s">
        <v>1986</v>
      </c>
      <c r="AG47" s="24" t="s">
        <v>104</v>
      </c>
      <c r="AH47" s="24" t="s">
        <v>1987</v>
      </c>
      <c r="AI47" s="24" t="s">
        <v>1988</v>
      </c>
      <c r="AJ47" s="24" t="s">
        <v>1989</v>
      </c>
      <c r="AK47" s="24" t="s">
        <v>1990</v>
      </c>
      <c r="AL47" s="24" t="s">
        <v>136</v>
      </c>
      <c r="AM47" s="24" t="s">
        <v>439</v>
      </c>
      <c r="AN47" s="24" t="s">
        <v>1991</v>
      </c>
      <c r="AO47" s="24" t="s">
        <v>1992</v>
      </c>
      <c r="AP47" s="24" t="s">
        <v>163</v>
      </c>
      <c r="AQ47" s="24" t="s">
        <v>439</v>
      </c>
      <c r="AR47" s="24" t="s">
        <v>1993</v>
      </c>
      <c r="AS47" s="24"/>
      <c r="AT47" s="24"/>
      <c r="AU47" s="24"/>
      <c r="AV47" s="24"/>
      <c r="AW47" s="24" t="s">
        <v>1994</v>
      </c>
      <c r="AX47" s="24" t="s">
        <v>1995</v>
      </c>
      <c r="AY47" s="24" t="s">
        <v>290</v>
      </c>
    </row>
    <row r="48" spans="1:51" x14ac:dyDescent="0.2">
      <c r="A48" s="27" t="s">
        <v>1996</v>
      </c>
      <c r="B48" s="27" t="s">
        <v>1997</v>
      </c>
      <c r="C48" s="27"/>
      <c r="D48" s="27" t="s">
        <v>87</v>
      </c>
      <c r="E48" s="28">
        <v>109245401</v>
      </c>
      <c r="F48" s="28">
        <v>332000</v>
      </c>
      <c r="G48" s="29">
        <v>190</v>
      </c>
      <c r="H48" s="29">
        <v>680</v>
      </c>
      <c r="I48" s="27" t="s">
        <v>143</v>
      </c>
      <c r="J48" s="27" t="s">
        <v>89</v>
      </c>
      <c r="K48" s="27" t="s">
        <v>90</v>
      </c>
      <c r="L48" s="27" t="s">
        <v>91</v>
      </c>
      <c r="M48" s="27" t="s">
        <v>1998</v>
      </c>
      <c r="N48" s="29">
        <v>8</v>
      </c>
      <c r="O48" s="27" t="s">
        <v>1210</v>
      </c>
      <c r="P48" s="27" t="s">
        <v>1999</v>
      </c>
      <c r="Q48" s="27" t="s">
        <v>2000</v>
      </c>
      <c r="R48" s="27" t="s">
        <v>2001</v>
      </c>
      <c r="S48" s="27" t="s">
        <v>2002</v>
      </c>
      <c r="T48" s="27" t="s">
        <v>28</v>
      </c>
      <c r="U48" s="27" t="s">
        <v>2003</v>
      </c>
      <c r="V48" s="27" t="s">
        <v>394</v>
      </c>
      <c r="W48" s="27" t="s">
        <v>2004</v>
      </c>
      <c r="X48" s="27" t="s">
        <v>100</v>
      </c>
      <c r="Y48" s="27" t="s">
        <v>98</v>
      </c>
      <c r="Z48" s="27" t="s">
        <v>2005</v>
      </c>
      <c r="AA48" s="27" t="s">
        <v>100</v>
      </c>
      <c r="AB48" s="27" t="s">
        <v>98</v>
      </c>
      <c r="AC48" s="27" t="s">
        <v>2006</v>
      </c>
      <c r="AD48" s="27" t="s">
        <v>100</v>
      </c>
      <c r="AE48" s="27" t="s">
        <v>394</v>
      </c>
      <c r="AF48" s="27" t="s">
        <v>2007</v>
      </c>
      <c r="AG48" s="27" t="s">
        <v>104</v>
      </c>
      <c r="AH48" s="27" t="s">
        <v>2008</v>
      </c>
      <c r="AI48" s="27" t="s">
        <v>2009</v>
      </c>
      <c r="AJ48" s="27" t="s">
        <v>2010</v>
      </c>
      <c r="AK48" s="27" t="s">
        <v>2011</v>
      </c>
      <c r="AL48" s="27" t="s">
        <v>163</v>
      </c>
      <c r="AM48" s="27" t="s">
        <v>394</v>
      </c>
      <c r="AN48" s="27" t="s">
        <v>2012</v>
      </c>
      <c r="AO48" s="27" t="s">
        <v>2013</v>
      </c>
      <c r="AP48" s="27" t="s">
        <v>133</v>
      </c>
      <c r="AQ48" s="27" t="s">
        <v>394</v>
      </c>
      <c r="AR48" s="27" t="s">
        <v>2014</v>
      </c>
      <c r="AS48" s="27" t="s">
        <v>2015</v>
      </c>
      <c r="AT48" s="27" t="s">
        <v>136</v>
      </c>
      <c r="AU48" s="27"/>
      <c r="AV48" s="27"/>
      <c r="AW48" s="27" t="s">
        <v>2016</v>
      </c>
      <c r="AX48" s="27" t="s">
        <v>2017</v>
      </c>
      <c r="AY48" s="27" t="s">
        <v>290</v>
      </c>
    </row>
    <row r="49" spans="1:51" x14ac:dyDescent="0.2">
      <c r="A49" s="24" t="s">
        <v>2018</v>
      </c>
      <c r="B49" s="24" t="s">
        <v>2019</v>
      </c>
      <c r="C49" s="24"/>
      <c r="D49" s="24" t="s">
        <v>87</v>
      </c>
      <c r="E49" s="25">
        <v>105865231</v>
      </c>
      <c r="F49" s="25">
        <v>3000000</v>
      </c>
      <c r="G49" s="26">
        <v>305</v>
      </c>
      <c r="H49" s="26">
        <v>361</v>
      </c>
      <c r="I49" s="24" t="s">
        <v>219</v>
      </c>
      <c r="J49" s="24" t="s">
        <v>89</v>
      </c>
      <c r="K49" s="24" t="s">
        <v>90</v>
      </c>
      <c r="L49" s="24" t="s">
        <v>91</v>
      </c>
      <c r="M49" s="24" t="s">
        <v>2020</v>
      </c>
      <c r="N49" s="26">
        <v>15</v>
      </c>
      <c r="O49" s="24" t="s">
        <v>2021</v>
      </c>
      <c r="P49" s="24" t="s">
        <v>2022</v>
      </c>
      <c r="Q49" s="24" t="s">
        <v>2023</v>
      </c>
      <c r="R49" s="24" t="s">
        <v>2024</v>
      </c>
      <c r="S49" s="24" t="s">
        <v>319</v>
      </c>
      <c r="T49" s="24" t="s">
        <v>31</v>
      </c>
      <c r="U49" s="24" t="s">
        <v>2025</v>
      </c>
      <c r="V49" s="24" t="s">
        <v>321</v>
      </c>
      <c r="W49" s="24" t="s">
        <v>2026</v>
      </c>
      <c r="X49" s="24" t="s">
        <v>100</v>
      </c>
      <c r="Y49" s="24" t="s">
        <v>352</v>
      </c>
      <c r="Z49" s="24" t="s">
        <v>2027</v>
      </c>
      <c r="AA49" s="24" t="s">
        <v>100</v>
      </c>
      <c r="AB49" s="24" t="s">
        <v>352</v>
      </c>
      <c r="AC49" s="24" t="s">
        <v>2028</v>
      </c>
      <c r="AD49" s="24" t="s">
        <v>100</v>
      </c>
      <c r="AE49" s="24" t="s">
        <v>98</v>
      </c>
      <c r="AF49" s="24" t="s">
        <v>2029</v>
      </c>
      <c r="AG49" s="24" t="s">
        <v>104</v>
      </c>
      <c r="AH49" s="24" t="s">
        <v>2030</v>
      </c>
      <c r="AI49" s="24" t="s">
        <v>2031</v>
      </c>
      <c r="AJ49" s="24" t="s">
        <v>2032</v>
      </c>
      <c r="AK49" s="24" t="s">
        <v>2033</v>
      </c>
      <c r="AL49" s="24" t="s">
        <v>136</v>
      </c>
      <c r="AM49" s="24" t="s">
        <v>98</v>
      </c>
      <c r="AN49" s="24" t="s">
        <v>2034</v>
      </c>
      <c r="AO49" s="24" t="s">
        <v>2035</v>
      </c>
      <c r="AP49" s="24" t="s">
        <v>163</v>
      </c>
      <c r="AQ49" s="24" t="s">
        <v>98</v>
      </c>
      <c r="AR49" s="24" t="s">
        <v>2036</v>
      </c>
      <c r="AS49" s="24" t="s">
        <v>2037</v>
      </c>
      <c r="AT49" s="24" t="s">
        <v>163</v>
      </c>
      <c r="AU49" s="24" t="s">
        <v>98</v>
      </c>
      <c r="AV49" s="24" t="s">
        <v>2036</v>
      </c>
      <c r="AW49" s="24" t="s">
        <v>2038</v>
      </c>
      <c r="AX49" s="24" t="s">
        <v>2039</v>
      </c>
      <c r="AY49" s="24" t="s">
        <v>115</v>
      </c>
    </row>
    <row r="50" spans="1:51" x14ac:dyDescent="0.2">
      <c r="A50" s="27" t="s">
        <v>2040</v>
      </c>
      <c r="B50" s="27" t="s">
        <v>2041</v>
      </c>
      <c r="C50" s="27" t="s">
        <v>2042</v>
      </c>
      <c r="D50" s="27" t="s">
        <v>87</v>
      </c>
      <c r="E50" s="28">
        <v>102920345</v>
      </c>
      <c r="F50" s="28">
        <v>8300000</v>
      </c>
      <c r="G50" s="29"/>
      <c r="H50" s="29">
        <v>596</v>
      </c>
      <c r="I50" s="27" t="s">
        <v>143</v>
      </c>
      <c r="J50" s="27" t="s">
        <v>89</v>
      </c>
      <c r="K50" s="27" t="s">
        <v>336</v>
      </c>
      <c r="L50" s="27" t="s">
        <v>337</v>
      </c>
      <c r="M50" s="27" t="s">
        <v>2043</v>
      </c>
      <c r="N50" s="29">
        <v>6</v>
      </c>
      <c r="O50" s="27" t="s">
        <v>2044</v>
      </c>
      <c r="P50" s="27"/>
      <c r="Q50" s="27" t="s">
        <v>2045</v>
      </c>
      <c r="R50" s="27" t="s">
        <v>2046</v>
      </c>
      <c r="S50" s="27" t="s">
        <v>2047</v>
      </c>
      <c r="T50" s="27" t="s">
        <v>31</v>
      </c>
      <c r="U50" s="27" t="s">
        <v>2048</v>
      </c>
      <c r="V50" s="27" t="s">
        <v>98</v>
      </c>
      <c r="W50" s="27" t="s">
        <v>2049</v>
      </c>
      <c r="X50" s="27" t="s">
        <v>100</v>
      </c>
      <c r="Y50" s="27" t="s">
        <v>98</v>
      </c>
      <c r="Z50" s="27" t="s">
        <v>2050</v>
      </c>
      <c r="AA50" s="27" t="s">
        <v>100</v>
      </c>
      <c r="AB50" s="27" t="s">
        <v>98</v>
      </c>
      <c r="AC50" s="27" t="s">
        <v>2051</v>
      </c>
      <c r="AD50" s="27" t="s">
        <v>100</v>
      </c>
      <c r="AE50" s="27" t="s">
        <v>98</v>
      </c>
      <c r="AF50" s="27" t="s">
        <v>2052</v>
      </c>
      <c r="AG50" s="27" t="s">
        <v>104</v>
      </c>
      <c r="AH50" s="27" t="s">
        <v>2053</v>
      </c>
      <c r="AI50" s="27" t="s">
        <v>2054</v>
      </c>
      <c r="AJ50" s="27"/>
      <c r="AK50" s="27" t="s">
        <v>2055</v>
      </c>
      <c r="AL50" s="27" t="s">
        <v>163</v>
      </c>
      <c r="AM50" s="27" t="s">
        <v>98</v>
      </c>
      <c r="AN50" s="27" t="s">
        <v>2056</v>
      </c>
      <c r="AO50" s="27" t="s">
        <v>2057</v>
      </c>
      <c r="AP50" s="27" t="s">
        <v>163</v>
      </c>
      <c r="AQ50" s="27"/>
      <c r="AR50" s="27"/>
      <c r="AS50" s="27" t="s">
        <v>2058</v>
      </c>
      <c r="AT50" s="27" t="s">
        <v>136</v>
      </c>
      <c r="AU50" s="27" t="s">
        <v>98</v>
      </c>
      <c r="AV50" s="27" t="s">
        <v>2059</v>
      </c>
      <c r="AW50" s="27" t="s">
        <v>2060</v>
      </c>
      <c r="AX50" s="27" t="s">
        <v>2061</v>
      </c>
      <c r="AY50" s="27" t="s">
        <v>115</v>
      </c>
    </row>
    <row r="51" spans="1:51" x14ac:dyDescent="0.2">
      <c r="A51" s="24" t="s">
        <v>2062</v>
      </c>
      <c r="B51" s="24" t="s">
        <v>2063</v>
      </c>
      <c r="C51" s="24" t="s">
        <v>2064</v>
      </c>
      <c r="D51" s="24" t="s">
        <v>87</v>
      </c>
      <c r="E51" s="25">
        <v>101380062</v>
      </c>
      <c r="F51" s="25">
        <v>10837924</v>
      </c>
      <c r="G51" s="26"/>
      <c r="H51" s="26">
        <v>714</v>
      </c>
      <c r="I51" s="24" t="s">
        <v>88</v>
      </c>
      <c r="J51" s="24" t="s">
        <v>89</v>
      </c>
      <c r="K51" s="24" t="s">
        <v>1225</v>
      </c>
      <c r="L51" s="24" t="s">
        <v>1226</v>
      </c>
      <c r="M51" s="24" t="s">
        <v>970</v>
      </c>
      <c r="N51" s="26">
        <v>5</v>
      </c>
      <c r="O51" s="24" t="s">
        <v>2065</v>
      </c>
      <c r="P51" s="24" t="s">
        <v>2066</v>
      </c>
      <c r="Q51" s="24" t="s">
        <v>952</v>
      </c>
      <c r="R51" s="24" t="s">
        <v>2067</v>
      </c>
      <c r="S51" s="24" t="s">
        <v>2068</v>
      </c>
      <c r="T51" s="24" t="s">
        <v>30</v>
      </c>
      <c r="U51" s="24" t="s">
        <v>2069</v>
      </c>
      <c r="V51" s="24" t="s">
        <v>2070</v>
      </c>
      <c r="W51" s="24" t="s">
        <v>2071</v>
      </c>
      <c r="X51" s="24" t="s">
        <v>104</v>
      </c>
      <c r="Y51" s="24"/>
      <c r="Z51" s="24"/>
      <c r="AA51" s="24"/>
      <c r="AB51" s="24"/>
      <c r="AC51" s="24"/>
      <c r="AD51" s="24"/>
      <c r="AE51" s="24"/>
      <c r="AF51" s="24"/>
      <c r="AG51" s="24"/>
      <c r="AH51" s="24" t="s">
        <v>2072</v>
      </c>
      <c r="AI51" s="24" t="s">
        <v>2073</v>
      </c>
      <c r="AJ51" s="24" t="s">
        <v>2074</v>
      </c>
      <c r="AK51" s="24" t="s">
        <v>2075</v>
      </c>
      <c r="AL51" s="24" t="s">
        <v>208</v>
      </c>
      <c r="AM51" s="24" t="s">
        <v>2076</v>
      </c>
      <c r="AN51" s="24" t="s">
        <v>2077</v>
      </c>
      <c r="AO51" s="24" t="s">
        <v>2078</v>
      </c>
      <c r="AP51" s="24" t="s">
        <v>208</v>
      </c>
      <c r="AQ51" s="24" t="s">
        <v>2076</v>
      </c>
      <c r="AR51" s="24" t="s">
        <v>2079</v>
      </c>
      <c r="AS51" s="24" t="s">
        <v>2080</v>
      </c>
      <c r="AT51" s="24" t="s">
        <v>185</v>
      </c>
      <c r="AU51" s="24" t="s">
        <v>2076</v>
      </c>
      <c r="AV51" s="24" t="s">
        <v>2081</v>
      </c>
      <c r="AW51" s="24" t="s">
        <v>2082</v>
      </c>
      <c r="AX51" s="24" t="s">
        <v>2083</v>
      </c>
      <c r="AY51" s="24" t="s">
        <v>115</v>
      </c>
    </row>
  </sheetData>
  <autoFilter ref="A4:AY51" xr:uid="{00000000-0009-0000-0000-000002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5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1" sqref="C31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2084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12</v>
      </c>
      <c r="U4" s="5" t="s">
        <v>54</v>
      </c>
      <c r="V4" s="5" t="s">
        <v>55</v>
      </c>
      <c r="W4" s="5" t="s">
        <v>56</v>
      </c>
      <c r="X4" s="5" t="s">
        <v>57</v>
      </c>
      <c r="Y4" s="5" t="s">
        <v>58</v>
      </c>
      <c r="Z4" s="5" t="s">
        <v>59</v>
      </c>
      <c r="AA4" s="5" t="s">
        <v>60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  <c r="AG4" s="5" t="s">
        <v>66</v>
      </c>
      <c r="AH4" s="5" t="s">
        <v>67</v>
      </c>
      <c r="AI4" s="5" t="s">
        <v>68</v>
      </c>
      <c r="AJ4" s="5" t="s">
        <v>69</v>
      </c>
      <c r="AK4" s="5" t="s">
        <v>70</v>
      </c>
      <c r="AL4" s="5" t="s">
        <v>71</v>
      </c>
      <c r="AM4" s="5" t="s">
        <v>72</v>
      </c>
      <c r="AN4" s="5" t="s">
        <v>73</v>
      </c>
      <c r="AO4" s="5" t="s">
        <v>74</v>
      </c>
      <c r="AP4" s="5" t="s">
        <v>75</v>
      </c>
      <c r="AQ4" s="5" t="s">
        <v>76</v>
      </c>
      <c r="AR4" s="5" t="s">
        <v>77</v>
      </c>
      <c r="AS4" s="5" t="s">
        <v>78</v>
      </c>
      <c r="AT4" s="5" t="s">
        <v>79</v>
      </c>
      <c r="AU4" s="5" t="s">
        <v>80</v>
      </c>
      <c r="AV4" s="5" t="s">
        <v>81</v>
      </c>
      <c r="AW4" s="5" t="s">
        <v>82</v>
      </c>
      <c r="AX4" s="5" t="s">
        <v>83</v>
      </c>
      <c r="AY4" s="5" t="s">
        <v>84</v>
      </c>
    </row>
    <row r="5" spans="1:51" x14ac:dyDescent="0.2">
      <c r="A5" s="24" t="s">
        <v>2085</v>
      </c>
      <c r="B5" s="24" t="s">
        <v>2086</v>
      </c>
      <c r="C5" s="24"/>
      <c r="D5" s="24" t="s">
        <v>87</v>
      </c>
      <c r="E5" s="25">
        <v>466722850</v>
      </c>
      <c r="F5" s="25">
        <v>29200000</v>
      </c>
      <c r="G5" s="26">
        <v>338</v>
      </c>
      <c r="H5" s="26">
        <v>787</v>
      </c>
      <c r="I5" s="24" t="s">
        <v>88</v>
      </c>
      <c r="J5" s="24" t="s">
        <v>89</v>
      </c>
      <c r="K5" s="24" t="s">
        <v>168</v>
      </c>
      <c r="L5" s="24" t="s">
        <v>169</v>
      </c>
      <c r="M5" s="24" t="s">
        <v>2087</v>
      </c>
      <c r="N5" s="26">
        <v>1</v>
      </c>
      <c r="O5" s="24" t="s">
        <v>2088</v>
      </c>
      <c r="P5" s="24" t="s">
        <v>1208</v>
      </c>
      <c r="Q5" s="24"/>
      <c r="R5" s="24" t="s">
        <v>2089</v>
      </c>
      <c r="S5" s="24" t="s">
        <v>2090</v>
      </c>
      <c r="T5" s="24" t="s">
        <v>28</v>
      </c>
      <c r="U5" s="24" t="s">
        <v>2091</v>
      </c>
      <c r="V5" s="24" t="s">
        <v>394</v>
      </c>
      <c r="W5" s="24" t="s">
        <v>2092</v>
      </c>
      <c r="X5" s="24" t="s">
        <v>100</v>
      </c>
      <c r="Y5" s="24" t="s">
        <v>644</v>
      </c>
      <c r="Z5" s="24" t="s">
        <v>2093</v>
      </c>
      <c r="AA5" s="24" t="s">
        <v>100</v>
      </c>
      <c r="AB5" s="24" t="s">
        <v>644</v>
      </c>
      <c r="AC5" s="24" t="s">
        <v>2094</v>
      </c>
      <c r="AD5" s="24" t="s">
        <v>100</v>
      </c>
      <c r="AE5" s="24" t="s">
        <v>644</v>
      </c>
      <c r="AF5" s="24" t="s">
        <v>2095</v>
      </c>
      <c r="AG5" s="24" t="s">
        <v>104</v>
      </c>
      <c r="AH5" s="24" t="s">
        <v>2096</v>
      </c>
      <c r="AI5" s="24" t="s">
        <v>2097</v>
      </c>
      <c r="AJ5" s="24"/>
      <c r="AK5" s="24" t="s">
        <v>2098</v>
      </c>
      <c r="AL5" s="24" t="s">
        <v>109</v>
      </c>
      <c r="AM5" s="24" t="s">
        <v>644</v>
      </c>
      <c r="AN5" s="24" t="s">
        <v>2099</v>
      </c>
      <c r="AO5" s="24" t="s">
        <v>2100</v>
      </c>
      <c r="AP5" s="24" t="s">
        <v>185</v>
      </c>
      <c r="AQ5" s="24" t="s">
        <v>644</v>
      </c>
      <c r="AR5" s="24" t="s">
        <v>2101</v>
      </c>
      <c r="AS5" s="24"/>
      <c r="AT5" s="24"/>
      <c r="AU5" s="24"/>
      <c r="AV5" s="24"/>
      <c r="AW5" s="24" t="s">
        <v>2102</v>
      </c>
      <c r="AX5" s="24" t="s">
        <v>2103</v>
      </c>
      <c r="AY5" s="24" t="s">
        <v>115</v>
      </c>
    </row>
    <row r="6" spans="1:51" x14ac:dyDescent="0.2">
      <c r="A6" s="27" t="s">
        <v>2104</v>
      </c>
      <c r="B6" s="27" t="s">
        <v>2105</v>
      </c>
      <c r="C6" s="27" t="s">
        <v>2106</v>
      </c>
      <c r="D6" s="27" t="s">
        <v>87</v>
      </c>
      <c r="E6" s="28">
        <v>431291822</v>
      </c>
      <c r="F6" s="28">
        <v>25800000</v>
      </c>
      <c r="G6" s="29">
        <v>58</v>
      </c>
      <c r="H6" s="29">
        <v>948</v>
      </c>
      <c r="I6" s="27" t="s">
        <v>88</v>
      </c>
      <c r="J6" s="27" t="s">
        <v>89</v>
      </c>
      <c r="K6" s="27" t="s">
        <v>90</v>
      </c>
      <c r="L6" s="27" t="s">
        <v>91</v>
      </c>
      <c r="M6" s="27" t="s">
        <v>2107</v>
      </c>
      <c r="N6" s="29">
        <v>3</v>
      </c>
      <c r="O6" s="27" t="s">
        <v>2108</v>
      </c>
      <c r="P6" s="27" t="s">
        <v>2109</v>
      </c>
      <c r="Q6" s="27"/>
      <c r="R6" s="27" t="s">
        <v>2110</v>
      </c>
      <c r="S6" s="27" t="s">
        <v>2111</v>
      </c>
      <c r="T6" s="27" t="s">
        <v>31</v>
      </c>
      <c r="U6" s="27" t="s">
        <v>2112</v>
      </c>
      <c r="V6" s="27" t="s">
        <v>416</v>
      </c>
      <c r="W6" s="27" t="s">
        <v>2113</v>
      </c>
      <c r="X6" s="27" t="s">
        <v>100</v>
      </c>
      <c r="Y6" s="27" t="s">
        <v>1021</v>
      </c>
      <c r="Z6" s="27" t="s">
        <v>2114</v>
      </c>
      <c r="AA6" s="27" t="s">
        <v>100</v>
      </c>
      <c r="AB6" s="27" t="s">
        <v>98</v>
      </c>
      <c r="AC6" s="27" t="s">
        <v>2115</v>
      </c>
      <c r="AD6" s="27" t="s">
        <v>100</v>
      </c>
      <c r="AE6" s="27" t="s">
        <v>98</v>
      </c>
      <c r="AF6" s="27" t="s">
        <v>2116</v>
      </c>
      <c r="AG6" s="27" t="s">
        <v>104</v>
      </c>
      <c r="AH6" s="27" t="s">
        <v>2117</v>
      </c>
      <c r="AI6" s="27" t="s">
        <v>2118</v>
      </c>
      <c r="AJ6" s="27" t="s">
        <v>2119</v>
      </c>
      <c r="AK6" s="27" t="s">
        <v>2120</v>
      </c>
      <c r="AL6" s="27" t="s">
        <v>109</v>
      </c>
      <c r="AM6" s="27" t="s">
        <v>98</v>
      </c>
      <c r="AN6" s="27" t="s">
        <v>2121</v>
      </c>
      <c r="AO6" s="27"/>
      <c r="AP6" s="27"/>
      <c r="AQ6" s="27"/>
      <c r="AR6" s="27"/>
      <c r="AS6" s="27"/>
      <c r="AT6" s="27"/>
      <c r="AU6" s="27"/>
      <c r="AV6" s="27"/>
      <c r="AW6" s="27" t="s">
        <v>2122</v>
      </c>
      <c r="AX6" s="27" t="s">
        <v>2123</v>
      </c>
      <c r="AY6" s="27" t="s">
        <v>290</v>
      </c>
    </row>
    <row r="7" spans="1:51" x14ac:dyDescent="0.2">
      <c r="A7" s="24" t="s">
        <v>2124</v>
      </c>
      <c r="B7" s="24" t="s">
        <v>2125</v>
      </c>
      <c r="C7" s="24" t="s">
        <v>2126</v>
      </c>
      <c r="D7" s="24" t="s">
        <v>87</v>
      </c>
      <c r="E7" s="25">
        <v>414401245</v>
      </c>
      <c r="F7" s="25">
        <v>29146386</v>
      </c>
      <c r="G7" s="26">
        <v>246</v>
      </c>
      <c r="H7" s="26">
        <v>844</v>
      </c>
      <c r="I7" s="24" t="s">
        <v>88</v>
      </c>
      <c r="J7" s="24" t="s">
        <v>89</v>
      </c>
      <c r="K7" s="24" t="s">
        <v>2127</v>
      </c>
      <c r="L7" s="24" t="s">
        <v>2128</v>
      </c>
      <c r="M7" s="24" t="s">
        <v>2129</v>
      </c>
      <c r="N7" s="26">
        <v>4</v>
      </c>
      <c r="O7" s="24" t="s">
        <v>2130</v>
      </c>
      <c r="P7" s="24" t="s">
        <v>2131</v>
      </c>
      <c r="Q7" s="24" t="s">
        <v>2132</v>
      </c>
      <c r="R7" s="24" t="s">
        <v>2133</v>
      </c>
      <c r="S7" s="24" t="s">
        <v>2134</v>
      </c>
      <c r="T7" s="24" t="s">
        <v>31</v>
      </c>
      <c r="U7" s="24" t="s">
        <v>2135</v>
      </c>
      <c r="V7" s="24" t="s">
        <v>98</v>
      </c>
      <c r="W7" s="24" t="s">
        <v>2136</v>
      </c>
      <c r="X7" s="24" t="s">
        <v>100</v>
      </c>
      <c r="Y7" s="24" t="s">
        <v>98</v>
      </c>
      <c r="Z7" s="24" t="s">
        <v>2137</v>
      </c>
      <c r="AA7" s="24" t="s">
        <v>100</v>
      </c>
      <c r="AB7" s="24" t="s">
        <v>98</v>
      </c>
      <c r="AC7" s="24" t="s">
        <v>2138</v>
      </c>
      <c r="AD7" s="24" t="s">
        <v>100</v>
      </c>
      <c r="AE7" s="24" t="s">
        <v>98</v>
      </c>
      <c r="AF7" s="24" t="s">
        <v>2139</v>
      </c>
      <c r="AG7" s="24" t="s">
        <v>104</v>
      </c>
      <c r="AH7" s="24" t="s">
        <v>2140</v>
      </c>
      <c r="AI7" s="24" t="s">
        <v>2141</v>
      </c>
      <c r="AJ7" s="24" t="s">
        <v>2142</v>
      </c>
      <c r="AK7" s="24" t="s">
        <v>2143</v>
      </c>
      <c r="AL7" s="24" t="s">
        <v>185</v>
      </c>
      <c r="AM7" s="24" t="s">
        <v>98</v>
      </c>
      <c r="AN7" s="24" t="s">
        <v>2144</v>
      </c>
      <c r="AO7" s="24" t="s">
        <v>2145</v>
      </c>
      <c r="AP7" s="24" t="s">
        <v>109</v>
      </c>
      <c r="AQ7" s="24" t="s">
        <v>98</v>
      </c>
      <c r="AR7" s="24" t="s">
        <v>2146</v>
      </c>
      <c r="AS7" s="24" t="s">
        <v>2147</v>
      </c>
      <c r="AT7" s="24" t="s">
        <v>109</v>
      </c>
      <c r="AU7" s="24"/>
      <c r="AV7" s="24"/>
      <c r="AW7" s="24"/>
      <c r="AX7" s="24" t="s">
        <v>2148</v>
      </c>
      <c r="AY7" s="24" t="s">
        <v>115</v>
      </c>
    </row>
    <row r="8" spans="1:51" x14ac:dyDescent="0.2">
      <c r="A8" s="27" t="s">
        <v>2149</v>
      </c>
      <c r="B8" s="27" t="s">
        <v>2150</v>
      </c>
      <c r="C8" s="27"/>
      <c r="D8" s="27" t="s">
        <v>87</v>
      </c>
      <c r="E8" s="28">
        <v>406984624</v>
      </c>
      <c r="F8" s="28">
        <v>29650000</v>
      </c>
      <c r="G8" s="29">
        <v>190</v>
      </c>
      <c r="H8" s="29">
        <v>884</v>
      </c>
      <c r="I8" s="27" t="s">
        <v>88</v>
      </c>
      <c r="J8" s="27" t="s">
        <v>89</v>
      </c>
      <c r="K8" s="27" t="s">
        <v>336</v>
      </c>
      <c r="L8" s="27" t="s">
        <v>337</v>
      </c>
      <c r="M8" s="27" t="s">
        <v>2151</v>
      </c>
      <c r="N8" s="29">
        <v>1</v>
      </c>
      <c r="O8" s="27" t="s">
        <v>2152</v>
      </c>
      <c r="P8" s="27" t="s">
        <v>2153</v>
      </c>
      <c r="Q8" s="27"/>
      <c r="R8" s="27" t="s">
        <v>2154</v>
      </c>
      <c r="S8" s="27" t="s">
        <v>1121</v>
      </c>
      <c r="T8" s="27" t="s">
        <v>16</v>
      </c>
      <c r="U8" s="27" t="s">
        <v>2155</v>
      </c>
      <c r="V8" s="27" t="s">
        <v>1123</v>
      </c>
      <c r="W8" s="27" t="s">
        <v>2156</v>
      </c>
      <c r="X8" s="27" t="s">
        <v>100</v>
      </c>
      <c r="Y8" s="27" t="s">
        <v>1123</v>
      </c>
      <c r="Z8" s="27" t="s">
        <v>2157</v>
      </c>
      <c r="AA8" s="27" t="s">
        <v>100</v>
      </c>
      <c r="AB8" s="27" t="s">
        <v>1123</v>
      </c>
      <c r="AC8" s="27" t="s">
        <v>2158</v>
      </c>
      <c r="AD8" s="27" t="s">
        <v>100</v>
      </c>
      <c r="AE8" s="27" t="s">
        <v>1123</v>
      </c>
      <c r="AF8" s="27" t="s">
        <v>2159</v>
      </c>
      <c r="AG8" s="27" t="s">
        <v>104</v>
      </c>
      <c r="AH8" s="27" t="s">
        <v>2160</v>
      </c>
      <c r="AI8" s="27"/>
      <c r="AJ8" s="27"/>
      <c r="AK8" s="27" t="s">
        <v>2161</v>
      </c>
      <c r="AL8" s="27" t="s">
        <v>185</v>
      </c>
      <c r="AM8" s="27" t="s">
        <v>1123</v>
      </c>
      <c r="AN8" s="27" t="s">
        <v>2162</v>
      </c>
      <c r="AO8" s="27" t="s">
        <v>2163</v>
      </c>
      <c r="AP8" s="27" t="s">
        <v>109</v>
      </c>
      <c r="AQ8" s="27" t="s">
        <v>1123</v>
      </c>
      <c r="AR8" s="27" t="s">
        <v>2164</v>
      </c>
      <c r="AS8" s="27" t="s">
        <v>2165</v>
      </c>
      <c r="AT8" s="27" t="s">
        <v>109</v>
      </c>
      <c r="AU8" s="27" t="s">
        <v>1123</v>
      </c>
      <c r="AV8" s="27" t="s">
        <v>2166</v>
      </c>
      <c r="AW8" s="27" t="s">
        <v>2167</v>
      </c>
      <c r="AX8" s="27" t="s">
        <v>2168</v>
      </c>
      <c r="AY8" s="27" t="s">
        <v>290</v>
      </c>
    </row>
    <row r="9" spans="1:51" x14ac:dyDescent="0.2">
      <c r="A9" s="24" t="s">
        <v>2169</v>
      </c>
      <c r="B9" s="24" t="s">
        <v>2170</v>
      </c>
      <c r="C9" s="24" t="s">
        <v>2171</v>
      </c>
      <c r="D9" s="24" t="s">
        <v>87</v>
      </c>
      <c r="E9" s="25">
        <v>388003856</v>
      </c>
      <c r="F9" s="25">
        <v>69383521</v>
      </c>
      <c r="G9" s="26"/>
      <c r="H9" s="26">
        <v>924</v>
      </c>
      <c r="I9" s="24" t="s">
        <v>88</v>
      </c>
      <c r="J9" s="24" t="s">
        <v>89</v>
      </c>
      <c r="K9" s="24" t="s">
        <v>244</v>
      </c>
      <c r="L9" s="24" t="s">
        <v>245</v>
      </c>
      <c r="M9" s="24" t="s">
        <v>2172</v>
      </c>
      <c r="N9" s="26">
        <v>13</v>
      </c>
      <c r="O9" s="24" t="s">
        <v>2173</v>
      </c>
      <c r="P9" s="24" t="s">
        <v>2174</v>
      </c>
      <c r="Q9" s="24" t="s">
        <v>2175</v>
      </c>
      <c r="R9" s="24" t="s">
        <v>1038</v>
      </c>
      <c r="S9" s="24" t="s">
        <v>342</v>
      </c>
      <c r="T9" s="24" t="s">
        <v>31</v>
      </c>
      <c r="U9" s="24" t="s">
        <v>2176</v>
      </c>
      <c r="V9" s="24" t="s">
        <v>98</v>
      </c>
      <c r="W9" s="24" t="s">
        <v>2177</v>
      </c>
      <c r="X9" s="24" t="s">
        <v>104</v>
      </c>
      <c r="Y9" s="24"/>
      <c r="Z9" s="24"/>
      <c r="AA9" s="24"/>
      <c r="AB9" s="24"/>
      <c r="AC9" s="24"/>
      <c r="AD9" s="24"/>
      <c r="AE9" s="24"/>
      <c r="AF9" s="24"/>
      <c r="AG9" s="24"/>
      <c r="AH9" s="24" t="s">
        <v>2178</v>
      </c>
      <c r="AI9" s="24" t="s">
        <v>2179</v>
      </c>
      <c r="AJ9" s="24" t="s">
        <v>2180</v>
      </c>
      <c r="AK9" s="24" t="s">
        <v>2181</v>
      </c>
      <c r="AL9" s="24" t="s">
        <v>208</v>
      </c>
      <c r="AM9" s="24" t="s">
        <v>98</v>
      </c>
      <c r="AN9" s="24" t="s">
        <v>2182</v>
      </c>
      <c r="AO9" s="24" t="s">
        <v>2183</v>
      </c>
      <c r="AP9" s="24" t="s">
        <v>208</v>
      </c>
      <c r="AQ9" s="24" t="s">
        <v>387</v>
      </c>
      <c r="AR9" s="24" t="s">
        <v>2184</v>
      </c>
      <c r="AS9" s="24" t="s">
        <v>2185</v>
      </c>
      <c r="AT9" s="24" t="s">
        <v>109</v>
      </c>
      <c r="AU9" s="24" t="s">
        <v>98</v>
      </c>
      <c r="AV9" s="24" t="s">
        <v>2186</v>
      </c>
      <c r="AW9" s="24" t="s">
        <v>2187</v>
      </c>
      <c r="AX9" s="24" t="s">
        <v>2188</v>
      </c>
      <c r="AY9" s="24" t="s">
        <v>115</v>
      </c>
    </row>
    <row r="10" spans="1:51" x14ac:dyDescent="0.2">
      <c r="A10" s="27" t="s">
        <v>2189</v>
      </c>
      <c r="B10" s="27" t="s">
        <v>2190</v>
      </c>
      <c r="C10" s="27"/>
      <c r="D10" s="27" t="s">
        <v>87</v>
      </c>
      <c r="E10" s="28">
        <v>374003980</v>
      </c>
      <c r="F10" s="28">
        <v>80607832</v>
      </c>
      <c r="G10" s="29"/>
      <c r="H10" s="29">
        <v>930</v>
      </c>
      <c r="I10" s="27" t="s">
        <v>88</v>
      </c>
      <c r="J10" s="27" t="s">
        <v>89</v>
      </c>
      <c r="K10" s="27" t="s">
        <v>244</v>
      </c>
      <c r="L10" s="27" t="s">
        <v>245</v>
      </c>
      <c r="M10" s="27" t="s">
        <v>2191</v>
      </c>
      <c r="N10" s="29">
        <v>3</v>
      </c>
      <c r="O10" s="27" t="s">
        <v>2192</v>
      </c>
      <c r="P10" s="27" t="s">
        <v>2193</v>
      </c>
      <c r="Q10" s="27"/>
      <c r="R10" s="27" t="s">
        <v>2194</v>
      </c>
      <c r="S10" s="27" t="s">
        <v>1188</v>
      </c>
      <c r="T10" s="27" t="s">
        <v>26</v>
      </c>
      <c r="U10" s="27" t="s">
        <v>2195</v>
      </c>
      <c r="V10" s="27" t="s">
        <v>252</v>
      </c>
      <c r="W10" s="27" t="s">
        <v>2196</v>
      </c>
      <c r="X10" s="27" t="s">
        <v>104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 t="s">
        <v>2197</v>
      </c>
      <c r="AI10" s="27" t="s">
        <v>2198</v>
      </c>
      <c r="AJ10" s="27" t="s">
        <v>2199</v>
      </c>
      <c r="AK10" s="27" t="s">
        <v>260</v>
      </c>
      <c r="AL10" s="27" t="s">
        <v>109</v>
      </c>
      <c r="AM10" s="27" t="s">
        <v>258</v>
      </c>
      <c r="AN10" s="27" t="s">
        <v>261</v>
      </c>
      <c r="AO10" s="27" t="s">
        <v>262</v>
      </c>
      <c r="AP10" s="27" t="s">
        <v>109</v>
      </c>
      <c r="AQ10" s="27" t="s">
        <v>263</v>
      </c>
      <c r="AR10" s="27" t="s">
        <v>264</v>
      </c>
      <c r="AS10" s="27" t="s">
        <v>257</v>
      </c>
      <c r="AT10" s="27" t="s">
        <v>109</v>
      </c>
      <c r="AU10" s="27" t="s">
        <v>258</v>
      </c>
      <c r="AV10" s="27" t="s">
        <v>259</v>
      </c>
      <c r="AW10" s="27" t="s">
        <v>2200</v>
      </c>
      <c r="AX10" s="27" t="s">
        <v>2201</v>
      </c>
      <c r="AY10" s="27" t="s">
        <v>115</v>
      </c>
    </row>
    <row r="11" spans="1:51" x14ac:dyDescent="0.2">
      <c r="A11" s="24" t="s">
        <v>2202</v>
      </c>
      <c r="B11" s="24" t="s">
        <v>2203</v>
      </c>
      <c r="C11" s="24"/>
      <c r="D11" s="24" t="s">
        <v>87</v>
      </c>
      <c r="E11" s="25">
        <v>364569606</v>
      </c>
      <c r="F11" s="25">
        <v>2000000</v>
      </c>
      <c r="G11" s="26">
        <v>359</v>
      </c>
      <c r="H11" s="26">
        <v>634</v>
      </c>
      <c r="I11" s="24" t="s">
        <v>143</v>
      </c>
      <c r="J11" s="24" t="s">
        <v>89</v>
      </c>
      <c r="K11" s="24" t="s">
        <v>407</v>
      </c>
      <c r="L11" s="24" t="s">
        <v>408</v>
      </c>
      <c r="M11" s="24" t="s">
        <v>2204</v>
      </c>
      <c r="N11" s="26">
        <v>0</v>
      </c>
      <c r="O11" s="24" t="s">
        <v>2205</v>
      </c>
      <c r="P11" s="24" t="s">
        <v>2206</v>
      </c>
      <c r="Q11" s="24" t="s">
        <v>2207</v>
      </c>
      <c r="R11" s="24" t="s">
        <v>2208</v>
      </c>
      <c r="S11" s="24" t="s">
        <v>1906</v>
      </c>
      <c r="T11" s="24" t="s">
        <v>21</v>
      </c>
      <c r="U11" s="24" t="s">
        <v>2209</v>
      </c>
      <c r="V11" s="24" t="s">
        <v>126</v>
      </c>
      <c r="W11" s="24" t="s">
        <v>1908</v>
      </c>
      <c r="X11" s="24" t="s">
        <v>104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 t="s">
        <v>2210</v>
      </c>
      <c r="AI11" s="24" t="s">
        <v>2211</v>
      </c>
      <c r="AJ11" s="24"/>
      <c r="AK11" s="24" t="s">
        <v>1910</v>
      </c>
      <c r="AL11" s="24" t="s">
        <v>163</v>
      </c>
      <c r="AM11" s="24" t="s">
        <v>126</v>
      </c>
      <c r="AN11" s="24" t="s">
        <v>1911</v>
      </c>
      <c r="AO11" s="24" t="s">
        <v>1914</v>
      </c>
      <c r="AP11" s="24" t="s">
        <v>133</v>
      </c>
      <c r="AQ11" s="24" t="s">
        <v>126</v>
      </c>
      <c r="AR11" s="24" t="s">
        <v>1915</v>
      </c>
      <c r="AS11" s="24" t="s">
        <v>1912</v>
      </c>
      <c r="AT11" s="24" t="s">
        <v>136</v>
      </c>
      <c r="AU11" s="24" t="s">
        <v>126</v>
      </c>
      <c r="AV11" s="24" t="s">
        <v>1913</v>
      </c>
      <c r="AW11" s="24" t="s">
        <v>2212</v>
      </c>
      <c r="AX11" s="24" t="s">
        <v>2213</v>
      </c>
      <c r="AY11" s="24" t="s">
        <v>115</v>
      </c>
    </row>
    <row r="12" spans="1:51" x14ac:dyDescent="0.2">
      <c r="A12" s="27" t="s">
        <v>2214</v>
      </c>
      <c r="B12" s="27" t="s">
        <v>2215</v>
      </c>
      <c r="C12" s="27" t="s">
        <v>2216</v>
      </c>
      <c r="D12" s="27" t="s">
        <v>87</v>
      </c>
      <c r="E12" s="28">
        <v>348398647</v>
      </c>
      <c r="F12" s="28">
        <v>4980000</v>
      </c>
      <c r="G12" s="29">
        <v>341</v>
      </c>
      <c r="H12" s="29">
        <v>716</v>
      </c>
      <c r="I12" s="27" t="s">
        <v>88</v>
      </c>
      <c r="J12" s="27" t="s">
        <v>89</v>
      </c>
      <c r="K12" s="27" t="s">
        <v>1225</v>
      </c>
      <c r="L12" s="27" t="s">
        <v>1226</v>
      </c>
      <c r="M12" s="27" t="s">
        <v>2217</v>
      </c>
      <c r="N12" s="29">
        <v>0</v>
      </c>
      <c r="O12" s="27" t="s">
        <v>2218</v>
      </c>
      <c r="P12" s="27" t="s">
        <v>2219</v>
      </c>
      <c r="Q12" s="27"/>
      <c r="R12" s="27" t="s">
        <v>2220</v>
      </c>
      <c r="S12" s="27" t="s">
        <v>1648</v>
      </c>
      <c r="T12" s="27" t="s">
        <v>19</v>
      </c>
      <c r="U12" s="27" t="s">
        <v>2221</v>
      </c>
      <c r="V12" s="27" t="s">
        <v>321</v>
      </c>
      <c r="W12" s="27" t="s">
        <v>2222</v>
      </c>
      <c r="X12" s="27" t="s">
        <v>100</v>
      </c>
      <c r="Y12" s="27" t="s">
        <v>321</v>
      </c>
      <c r="Z12" s="27" t="s">
        <v>2223</v>
      </c>
      <c r="AA12" s="27" t="s">
        <v>100</v>
      </c>
      <c r="AB12" s="27" t="s">
        <v>321</v>
      </c>
      <c r="AC12" s="27" t="s">
        <v>2224</v>
      </c>
      <c r="AD12" s="27" t="s">
        <v>100</v>
      </c>
      <c r="AE12" s="27" t="s">
        <v>321</v>
      </c>
      <c r="AF12" s="27" t="s">
        <v>2225</v>
      </c>
      <c r="AG12" s="27" t="s">
        <v>104</v>
      </c>
      <c r="AH12" s="27" t="s">
        <v>2226</v>
      </c>
      <c r="AI12" s="27" t="s">
        <v>2227</v>
      </c>
      <c r="AJ12" s="27" t="s">
        <v>2228</v>
      </c>
      <c r="AK12" s="27" t="s">
        <v>2229</v>
      </c>
      <c r="AL12" s="27" t="s">
        <v>185</v>
      </c>
      <c r="AM12" s="27" t="s">
        <v>321</v>
      </c>
      <c r="AN12" s="27" t="s">
        <v>2230</v>
      </c>
      <c r="AO12" s="27" t="s">
        <v>2231</v>
      </c>
      <c r="AP12" s="27" t="s">
        <v>109</v>
      </c>
      <c r="AQ12" s="27" t="s">
        <v>321</v>
      </c>
      <c r="AR12" s="27" t="s">
        <v>2232</v>
      </c>
      <c r="AS12" s="27"/>
      <c r="AT12" s="27"/>
      <c r="AU12" s="27"/>
      <c r="AV12" s="27"/>
      <c r="AW12" s="27" t="s">
        <v>2233</v>
      </c>
      <c r="AX12" s="27" t="s">
        <v>2234</v>
      </c>
      <c r="AY12" s="27" t="s">
        <v>115</v>
      </c>
    </row>
    <row r="13" spans="1:51" x14ac:dyDescent="0.2">
      <c r="A13" s="24" t="s">
        <v>2235</v>
      </c>
      <c r="B13" s="24" t="s">
        <v>2236</v>
      </c>
      <c r="C13" s="24"/>
      <c r="D13" s="24" t="s">
        <v>87</v>
      </c>
      <c r="E13" s="25">
        <v>330898615</v>
      </c>
      <c r="F13" s="25">
        <v>21680000</v>
      </c>
      <c r="G13" s="26">
        <v>745</v>
      </c>
      <c r="H13" s="26">
        <v>749</v>
      </c>
      <c r="I13" s="24" t="s">
        <v>88</v>
      </c>
      <c r="J13" s="24" t="s">
        <v>89</v>
      </c>
      <c r="K13" s="24" t="s">
        <v>90</v>
      </c>
      <c r="L13" s="24" t="s">
        <v>91</v>
      </c>
      <c r="M13" s="24" t="s">
        <v>2237</v>
      </c>
      <c r="N13" s="26">
        <v>5</v>
      </c>
      <c r="O13" s="24" t="s">
        <v>2238</v>
      </c>
      <c r="P13" s="24"/>
      <c r="Q13" s="24" t="s">
        <v>2239</v>
      </c>
      <c r="R13" s="24" t="s">
        <v>2240</v>
      </c>
      <c r="S13" s="24" t="s">
        <v>2241</v>
      </c>
      <c r="T13" s="24" t="s">
        <v>23</v>
      </c>
      <c r="U13" s="24" t="s">
        <v>2242</v>
      </c>
      <c r="V13" s="24" t="s">
        <v>263</v>
      </c>
      <c r="W13" s="24" t="s">
        <v>2243</v>
      </c>
      <c r="X13" s="24" t="s">
        <v>100</v>
      </c>
      <c r="Y13" s="24" t="s">
        <v>263</v>
      </c>
      <c r="Z13" s="24" t="s">
        <v>2244</v>
      </c>
      <c r="AA13" s="24" t="s">
        <v>100</v>
      </c>
      <c r="AB13" s="24" t="s">
        <v>263</v>
      </c>
      <c r="AC13" s="24" t="s">
        <v>2245</v>
      </c>
      <c r="AD13" s="24" t="s">
        <v>100</v>
      </c>
      <c r="AE13" s="24" t="s">
        <v>263</v>
      </c>
      <c r="AF13" s="24" t="s">
        <v>2246</v>
      </c>
      <c r="AG13" s="24" t="s">
        <v>104</v>
      </c>
      <c r="AH13" s="24" t="s">
        <v>2247</v>
      </c>
      <c r="AI13" s="24" t="s">
        <v>2248</v>
      </c>
      <c r="AJ13" s="24" t="s">
        <v>2249</v>
      </c>
      <c r="AK13" s="24" t="s">
        <v>2250</v>
      </c>
      <c r="AL13" s="24" t="s">
        <v>133</v>
      </c>
      <c r="AM13" s="24" t="s">
        <v>263</v>
      </c>
      <c r="AN13" s="24" t="s">
        <v>2251</v>
      </c>
      <c r="AO13" s="24" t="s">
        <v>2252</v>
      </c>
      <c r="AP13" s="24" t="s">
        <v>133</v>
      </c>
      <c r="AQ13" s="24"/>
      <c r="AR13" s="24"/>
      <c r="AS13" s="24" t="s">
        <v>2253</v>
      </c>
      <c r="AT13" s="24" t="s">
        <v>133</v>
      </c>
      <c r="AU13" s="24" t="s">
        <v>263</v>
      </c>
      <c r="AV13" s="24" t="s">
        <v>2254</v>
      </c>
      <c r="AW13" s="24" t="s">
        <v>2255</v>
      </c>
      <c r="AX13" s="24" t="s">
        <v>2256</v>
      </c>
      <c r="AY13" s="24" t="s">
        <v>115</v>
      </c>
    </row>
    <row r="14" spans="1:51" x14ac:dyDescent="0.2">
      <c r="A14" s="27" t="s">
        <v>2257</v>
      </c>
      <c r="B14" s="27" t="s">
        <v>2258</v>
      </c>
      <c r="C14" s="27" t="s">
        <v>2259</v>
      </c>
      <c r="D14" s="27" t="s">
        <v>87</v>
      </c>
      <c r="E14" s="28">
        <v>317579169</v>
      </c>
      <c r="F14" s="28">
        <v>53068659</v>
      </c>
      <c r="G14" s="29">
        <v>270</v>
      </c>
      <c r="H14" s="29">
        <v>902</v>
      </c>
      <c r="I14" s="27" t="s">
        <v>88</v>
      </c>
      <c r="J14" s="27" t="s">
        <v>89</v>
      </c>
      <c r="K14" s="27" t="s">
        <v>336</v>
      </c>
      <c r="L14" s="27" t="s">
        <v>337</v>
      </c>
      <c r="M14" s="27" t="s">
        <v>2260</v>
      </c>
      <c r="N14" s="29">
        <v>1</v>
      </c>
      <c r="O14" s="27" t="s">
        <v>2261</v>
      </c>
      <c r="P14" s="27" t="s">
        <v>2262</v>
      </c>
      <c r="Q14" s="27" t="s">
        <v>2263</v>
      </c>
      <c r="R14" s="27" t="s">
        <v>2264</v>
      </c>
      <c r="S14" s="27" t="s">
        <v>1648</v>
      </c>
      <c r="T14" s="27" t="s">
        <v>19</v>
      </c>
      <c r="U14" s="27" t="s">
        <v>2265</v>
      </c>
      <c r="V14" s="27" t="s">
        <v>321</v>
      </c>
      <c r="W14" s="27" t="s">
        <v>2266</v>
      </c>
      <c r="X14" s="27" t="s">
        <v>100</v>
      </c>
      <c r="Y14" s="27" t="s">
        <v>321</v>
      </c>
      <c r="Z14" s="27" t="s">
        <v>2267</v>
      </c>
      <c r="AA14" s="27" t="s">
        <v>100</v>
      </c>
      <c r="AB14" s="27" t="s">
        <v>321</v>
      </c>
      <c r="AC14" s="27" t="s">
        <v>2268</v>
      </c>
      <c r="AD14" s="27" t="s">
        <v>100</v>
      </c>
      <c r="AE14" s="27" t="s">
        <v>321</v>
      </c>
      <c r="AF14" s="27" t="s">
        <v>2269</v>
      </c>
      <c r="AG14" s="27" t="s">
        <v>104</v>
      </c>
      <c r="AH14" s="27" t="s">
        <v>2270</v>
      </c>
      <c r="AI14" s="27" t="s">
        <v>2271</v>
      </c>
      <c r="AJ14" s="27"/>
      <c r="AK14" s="27" t="s">
        <v>2272</v>
      </c>
      <c r="AL14" s="27" t="s">
        <v>109</v>
      </c>
      <c r="AM14" s="27"/>
      <c r="AN14" s="27"/>
      <c r="AO14" s="27" t="s">
        <v>557</v>
      </c>
      <c r="AP14" s="27" t="s">
        <v>185</v>
      </c>
      <c r="AQ14" s="27" t="s">
        <v>554</v>
      </c>
      <c r="AR14" s="27" t="s">
        <v>558</v>
      </c>
      <c r="AS14" s="27"/>
      <c r="AT14" s="27"/>
      <c r="AU14" s="27"/>
      <c r="AV14" s="27"/>
      <c r="AW14" s="27" t="s">
        <v>2273</v>
      </c>
      <c r="AX14" s="27" t="s">
        <v>2274</v>
      </c>
      <c r="AY14" s="27" t="s">
        <v>290</v>
      </c>
    </row>
    <row r="15" spans="1:51" x14ac:dyDescent="0.2">
      <c r="A15" s="24" t="s">
        <v>2275</v>
      </c>
      <c r="B15" s="24" t="s">
        <v>2276</v>
      </c>
      <c r="C15" s="24" t="s">
        <v>2277</v>
      </c>
      <c r="D15" s="24" t="s">
        <v>87</v>
      </c>
      <c r="E15" s="25">
        <v>297155674</v>
      </c>
      <c r="F15" s="25">
        <v>38195710</v>
      </c>
      <c r="G15" s="26">
        <v>16</v>
      </c>
      <c r="H15" s="26">
        <v>759</v>
      </c>
      <c r="I15" s="24" t="s">
        <v>88</v>
      </c>
      <c r="J15" s="24" t="s">
        <v>89</v>
      </c>
      <c r="K15" s="24" t="s">
        <v>244</v>
      </c>
      <c r="L15" s="24" t="s">
        <v>245</v>
      </c>
      <c r="M15" s="24" t="s">
        <v>2278</v>
      </c>
      <c r="N15" s="26">
        <v>4</v>
      </c>
      <c r="O15" s="24" t="s">
        <v>2279</v>
      </c>
      <c r="P15" s="24" t="s">
        <v>2280</v>
      </c>
      <c r="Q15" s="24"/>
      <c r="R15" s="24" t="s">
        <v>2281</v>
      </c>
      <c r="S15" s="24" t="s">
        <v>2282</v>
      </c>
      <c r="T15" s="24" t="s">
        <v>19</v>
      </c>
      <c r="U15" s="24" t="s">
        <v>2283</v>
      </c>
      <c r="V15" s="24" t="s">
        <v>321</v>
      </c>
      <c r="W15" s="24" t="s">
        <v>2284</v>
      </c>
      <c r="X15" s="24" t="s">
        <v>104</v>
      </c>
      <c r="Y15" s="24"/>
      <c r="Z15" s="24"/>
      <c r="AA15" s="24"/>
      <c r="AB15" s="24"/>
      <c r="AC15" s="24"/>
      <c r="AD15" s="24"/>
      <c r="AE15" s="24"/>
      <c r="AF15" s="24"/>
      <c r="AG15" s="24"/>
      <c r="AH15" s="24" t="s">
        <v>2285</v>
      </c>
      <c r="AI15" s="24" t="s">
        <v>2286</v>
      </c>
      <c r="AJ15" s="24" t="s">
        <v>2287</v>
      </c>
      <c r="AK15" s="24" t="s">
        <v>2288</v>
      </c>
      <c r="AL15" s="24" t="s">
        <v>109</v>
      </c>
      <c r="AM15" s="24" t="s">
        <v>439</v>
      </c>
      <c r="AN15" s="24" t="s">
        <v>2289</v>
      </c>
      <c r="AO15" s="24"/>
      <c r="AP15" s="24"/>
      <c r="AQ15" s="24"/>
      <c r="AR15" s="24"/>
      <c r="AS15" s="24"/>
      <c r="AT15" s="24"/>
      <c r="AU15" s="24"/>
      <c r="AV15" s="24"/>
      <c r="AW15" s="24" t="s">
        <v>2290</v>
      </c>
      <c r="AX15" s="24" t="s">
        <v>2291</v>
      </c>
      <c r="AY15" s="24" t="s">
        <v>290</v>
      </c>
    </row>
    <row r="16" spans="1:51" x14ac:dyDescent="0.2">
      <c r="A16" s="27" t="s">
        <v>2292</v>
      </c>
      <c r="B16" s="27" t="s">
        <v>2293</v>
      </c>
      <c r="C16" s="27"/>
      <c r="D16" s="27" t="s">
        <v>431</v>
      </c>
      <c r="E16" s="28">
        <v>286571097</v>
      </c>
      <c r="F16" s="28">
        <v>820000</v>
      </c>
      <c r="G16" s="29">
        <v>319</v>
      </c>
      <c r="H16" s="29">
        <v>407</v>
      </c>
      <c r="I16" s="27" t="s">
        <v>219</v>
      </c>
      <c r="J16" s="27" t="s">
        <v>89</v>
      </c>
      <c r="K16" s="27" t="s">
        <v>1225</v>
      </c>
      <c r="L16" s="27" t="s">
        <v>1226</v>
      </c>
      <c r="M16" s="27" t="s">
        <v>2294</v>
      </c>
      <c r="N16" s="29">
        <v>3</v>
      </c>
      <c r="O16" s="27" t="s">
        <v>2295</v>
      </c>
      <c r="P16" s="27" t="s">
        <v>2296</v>
      </c>
      <c r="Q16" s="27"/>
      <c r="R16" s="27" t="s">
        <v>149</v>
      </c>
      <c r="S16" s="27" t="s">
        <v>2297</v>
      </c>
      <c r="T16" s="27" t="s">
        <v>29</v>
      </c>
      <c r="U16" s="27" t="s">
        <v>2298</v>
      </c>
      <c r="V16" s="27" t="s">
        <v>233</v>
      </c>
      <c r="W16" s="27" t="s">
        <v>2299</v>
      </c>
      <c r="X16" s="27" t="s">
        <v>100</v>
      </c>
      <c r="Y16" s="27" t="s">
        <v>233</v>
      </c>
      <c r="Z16" s="27" t="s">
        <v>2300</v>
      </c>
      <c r="AA16" s="27" t="s">
        <v>100</v>
      </c>
      <c r="AB16" s="27" t="s">
        <v>233</v>
      </c>
      <c r="AC16" s="27" t="s">
        <v>2301</v>
      </c>
      <c r="AD16" s="27" t="s">
        <v>100</v>
      </c>
      <c r="AE16" s="27" t="s">
        <v>233</v>
      </c>
      <c r="AF16" s="27" t="s">
        <v>2302</v>
      </c>
      <c r="AG16" s="27" t="s">
        <v>104</v>
      </c>
      <c r="AH16" s="27" t="s">
        <v>2303</v>
      </c>
      <c r="AI16" s="27"/>
      <c r="AJ16" s="27"/>
      <c r="AK16" s="27" t="s">
        <v>2304</v>
      </c>
      <c r="AL16" s="27" t="s">
        <v>163</v>
      </c>
      <c r="AM16" s="27"/>
      <c r="AN16" s="27"/>
      <c r="AO16" s="27" t="s">
        <v>2305</v>
      </c>
      <c r="AP16" s="27" t="s">
        <v>136</v>
      </c>
      <c r="AQ16" s="27" t="s">
        <v>233</v>
      </c>
      <c r="AR16" s="27" t="s">
        <v>2306</v>
      </c>
      <c r="AS16" s="27"/>
      <c r="AT16" s="27"/>
      <c r="AU16" s="27"/>
      <c r="AV16" s="27"/>
      <c r="AW16" s="27" t="s">
        <v>2307</v>
      </c>
      <c r="AX16" s="27" t="s">
        <v>2308</v>
      </c>
      <c r="AY16" s="27" t="s">
        <v>115</v>
      </c>
    </row>
    <row r="17" spans="1:51" x14ac:dyDescent="0.2">
      <c r="A17" s="24" t="s">
        <v>2309</v>
      </c>
      <c r="B17" s="24" t="s">
        <v>2310</v>
      </c>
      <c r="C17" s="24"/>
      <c r="D17" s="24" t="s">
        <v>87</v>
      </c>
      <c r="E17" s="25">
        <v>279623796</v>
      </c>
      <c r="F17" s="25">
        <v>30123450</v>
      </c>
      <c r="G17" s="26">
        <v>400</v>
      </c>
      <c r="H17" s="26">
        <v>926</v>
      </c>
      <c r="I17" s="24" t="s">
        <v>88</v>
      </c>
      <c r="J17" s="24" t="s">
        <v>89</v>
      </c>
      <c r="K17" s="24" t="s">
        <v>90</v>
      </c>
      <c r="L17" s="24" t="s">
        <v>91</v>
      </c>
      <c r="M17" s="24" t="s">
        <v>2311</v>
      </c>
      <c r="N17" s="26">
        <v>6</v>
      </c>
      <c r="O17" s="24" t="s">
        <v>2312</v>
      </c>
      <c r="P17" s="24" t="s">
        <v>2313</v>
      </c>
      <c r="Q17" s="24" t="s">
        <v>2314</v>
      </c>
      <c r="R17" s="24" t="s">
        <v>149</v>
      </c>
      <c r="S17" s="24" t="s">
        <v>2315</v>
      </c>
      <c r="T17" s="24" t="s">
        <v>29</v>
      </c>
      <c r="U17" s="24" t="s">
        <v>2316</v>
      </c>
      <c r="V17" s="24" t="s">
        <v>573</v>
      </c>
      <c r="W17" s="24" t="s">
        <v>2317</v>
      </c>
      <c r="X17" s="24" t="s">
        <v>100</v>
      </c>
      <c r="Y17" s="24" t="s">
        <v>573</v>
      </c>
      <c r="Z17" s="24" t="s">
        <v>2318</v>
      </c>
      <c r="AA17" s="24" t="s">
        <v>100</v>
      </c>
      <c r="AB17" s="24" t="s">
        <v>573</v>
      </c>
      <c r="AC17" s="24" t="s">
        <v>2319</v>
      </c>
      <c r="AD17" s="24" t="s">
        <v>100</v>
      </c>
      <c r="AE17" s="24" t="s">
        <v>573</v>
      </c>
      <c r="AF17" s="24" t="s">
        <v>2320</v>
      </c>
      <c r="AG17" s="24" t="s">
        <v>104</v>
      </c>
      <c r="AH17" s="24" t="s">
        <v>2321</v>
      </c>
      <c r="AI17" s="24" t="s">
        <v>2322</v>
      </c>
      <c r="AJ17" s="24" t="s">
        <v>2323</v>
      </c>
      <c r="AK17" s="24" t="s">
        <v>2324</v>
      </c>
      <c r="AL17" s="24" t="s">
        <v>109</v>
      </c>
      <c r="AM17" s="24" t="s">
        <v>573</v>
      </c>
      <c r="AN17" s="24" t="s">
        <v>2325</v>
      </c>
      <c r="AO17" s="24" t="s">
        <v>2326</v>
      </c>
      <c r="AP17" s="24" t="s">
        <v>109</v>
      </c>
      <c r="AQ17" s="24" t="s">
        <v>252</v>
      </c>
      <c r="AR17" s="24" t="s">
        <v>2327</v>
      </c>
      <c r="AS17" s="24"/>
      <c r="AT17" s="24"/>
      <c r="AU17" s="24"/>
      <c r="AV17" s="24"/>
      <c r="AW17" s="24" t="s">
        <v>2328</v>
      </c>
      <c r="AX17" s="24" t="s">
        <v>2329</v>
      </c>
      <c r="AY17" s="24" t="s">
        <v>115</v>
      </c>
    </row>
    <row r="18" spans="1:51" x14ac:dyDescent="0.2">
      <c r="A18" s="27" t="s">
        <v>2330</v>
      </c>
      <c r="B18" s="27" t="s">
        <v>2331</v>
      </c>
      <c r="C18" s="27"/>
      <c r="D18" s="27" t="s">
        <v>431</v>
      </c>
      <c r="E18" s="28">
        <v>274501222</v>
      </c>
      <c r="F18" s="28">
        <v>34983860</v>
      </c>
      <c r="G18" s="29">
        <v>172</v>
      </c>
      <c r="H18" s="29">
        <v>306</v>
      </c>
      <c r="I18" s="27" t="s">
        <v>219</v>
      </c>
      <c r="J18" s="27" t="s">
        <v>89</v>
      </c>
      <c r="K18" s="27" t="s">
        <v>192</v>
      </c>
      <c r="L18" s="27" t="s">
        <v>193</v>
      </c>
      <c r="M18" s="27" t="s">
        <v>2332</v>
      </c>
      <c r="N18" s="29">
        <v>0</v>
      </c>
      <c r="O18" s="27" t="s">
        <v>2333</v>
      </c>
      <c r="P18" s="27" t="s">
        <v>749</v>
      </c>
      <c r="Q18" s="27" t="s">
        <v>2334</v>
      </c>
      <c r="R18" s="27" t="s">
        <v>2335</v>
      </c>
      <c r="S18" s="27" t="s">
        <v>2336</v>
      </c>
      <c r="T18" s="27" t="s">
        <v>31</v>
      </c>
      <c r="U18" s="27" t="s">
        <v>2337</v>
      </c>
      <c r="V18" s="27" t="s">
        <v>321</v>
      </c>
      <c r="W18" s="27" t="s">
        <v>2338</v>
      </c>
      <c r="X18" s="27" t="s">
        <v>100</v>
      </c>
      <c r="Y18" s="27" t="s">
        <v>352</v>
      </c>
      <c r="Z18" s="27" t="s">
        <v>2339</v>
      </c>
      <c r="AA18" s="27" t="s">
        <v>100</v>
      </c>
      <c r="AB18" s="27" t="s">
        <v>352</v>
      </c>
      <c r="AC18" s="27" t="s">
        <v>2340</v>
      </c>
      <c r="AD18" s="27" t="s">
        <v>100</v>
      </c>
      <c r="AE18" s="27" t="s">
        <v>352</v>
      </c>
      <c r="AF18" s="27" t="s">
        <v>2341</v>
      </c>
      <c r="AG18" s="27" t="s">
        <v>104</v>
      </c>
      <c r="AH18" s="27" t="s">
        <v>2342</v>
      </c>
      <c r="AI18" s="27"/>
      <c r="AJ18" s="27"/>
      <c r="AK18" s="27" t="s">
        <v>2343</v>
      </c>
      <c r="AL18" s="27" t="s">
        <v>237</v>
      </c>
      <c r="AM18" s="27"/>
      <c r="AN18" s="27"/>
      <c r="AO18" s="27" t="s">
        <v>2344</v>
      </c>
      <c r="AP18" s="27" t="s">
        <v>237</v>
      </c>
      <c r="AQ18" s="27"/>
      <c r="AR18" s="27"/>
      <c r="AS18" s="27" t="s">
        <v>2345</v>
      </c>
      <c r="AT18" s="27" t="s">
        <v>136</v>
      </c>
      <c r="AU18" s="27" t="s">
        <v>352</v>
      </c>
      <c r="AV18" s="27" t="s">
        <v>2346</v>
      </c>
      <c r="AW18" s="27" t="s">
        <v>2347</v>
      </c>
      <c r="AX18" s="27" t="s">
        <v>2348</v>
      </c>
      <c r="AY18" s="27" t="s">
        <v>115</v>
      </c>
    </row>
    <row r="19" spans="1:51" x14ac:dyDescent="0.2">
      <c r="A19" s="24" t="s">
        <v>2349</v>
      </c>
      <c r="B19" s="24" t="s">
        <v>2350</v>
      </c>
      <c r="C19" s="24"/>
      <c r="D19" s="24" t="s">
        <v>87</v>
      </c>
      <c r="E19" s="25">
        <v>267804942</v>
      </c>
      <c r="F19" s="25">
        <v>39000000</v>
      </c>
      <c r="G19" s="26">
        <v>712</v>
      </c>
      <c r="H19" s="26">
        <v>758</v>
      </c>
      <c r="I19" s="24" t="s">
        <v>88</v>
      </c>
      <c r="J19" s="24" t="s">
        <v>89</v>
      </c>
      <c r="K19" s="24" t="s">
        <v>144</v>
      </c>
      <c r="L19" s="24" t="s">
        <v>145</v>
      </c>
      <c r="M19" s="24" t="s">
        <v>2351</v>
      </c>
      <c r="N19" s="26">
        <v>2</v>
      </c>
      <c r="O19" s="24" t="s">
        <v>2352</v>
      </c>
      <c r="P19" s="24"/>
      <c r="Q19" s="24" t="s">
        <v>2353</v>
      </c>
      <c r="R19" s="24" t="s">
        <v>2354</v>
      </c>
      <c r="S19" s="24" t="s">
        <v>2355</v>
      </c>
      <c r="T19" s="24" t="s">
        <v>31</v>
      </c>
      <c r="U19" s="24" t="s">
        <v>2356</v>
      </c>
      <c r="V19" s="24" t="s">
        <v>416</v>
      </c>
      <c r="W19" s="24" t="s">
        <v>2357</v>
      </c>
      <c r="X19" s="24" t="s">
        <v>100</v>
      </c>
      <c r="Y19" s="24" t="s">
        <v>416</v>
      </c>
      <c r="Z19" s="24" t="s">
        <v>2358</v>
      </c>
      <c r="AA19" s="24" t="s">
        <v>100</v>
      </c>
      <c r="AB19" s="24" t="s">
        <v>416</v>
      </c>
      <c r="AC19" s="24" t="s">
        <v>2359</v>
      </c>
      <c r="AD19" s="24" t="s">
        <v>100</v>
      </c>
      <c r="AE19" s="24" t="s">
        <v>416</v>
      </c>
      <c r="AF19" s="24" t="s">
        <v>2360</v>
      </c>
      <c r="AG19" s="24" t="s">
        <v>104</v>
      </c>
      <c r="AH19" s="24" t="s">
        <v>2361</v>
      </c>
      <c r="AI19" s="24" t="s">
        <v>2362</v>
      </c>
      <c r="AJ19" s="24" t="s">
        <v>2363</v>
      </c>
      <c r="AK19" s="24" t="s">
        <v>2364</v>
      </c>
      <c r="AL19" s="24" t="s">
        <v>163</v>
      </c>
      <c r="AM19" s="24" t="s">
        <v>416</v>
      </c>
      <c r="AN19" s="24" t="s">
        <v>2360</v>
      </c>
      <c r="AO19" s="24" t="s">
        <v>2365</v>
      </c>
      <c r="AP19" s="24" t="s">
        <v>136</v>
      </c>
      <c r="AQ19" s="24" t="s">
        <v>416</v>
      </c>
      <c r="AR19" s="24" t="s">
        <v>2366</v>
      </c>
      <c r="AS19" s="24" t="s">
        <v>2367</v>
      </c>
      <c r="AT19" s="24" t="s">
        <v>136</v>
      </c>
      <c r="AU19" s="24" t="s">
        <v>352</v>
      </c>
      <c r="AV19" s="24" t="s">
        <v>2368</v>
      </c>
      <c r="AW19" s="24" t="s">
        <v>2369</v>
      </c>
      <c r="AX19" s="24" t="s">
        <v>2370</v>
      </c>
      <c r="AY19" s="24" t="s">
        <v>115</v>
      </c>
    </row>
    <row r="20" spans="1:51" x14ac:dyDescent="0.2">
      <c r="A20" s="27" t="s">
        <v>2371</v>
      </c>
      <c r="B20" s="27" t="s">
        <v>2372</v>
      </c>
      <c r="C20" s="27" t="s">
        <v>2373</v>
      </c>
      <c r="D20" s="27" t="s">
        <v>87</v>
      </c>
      <c r="E20" s="28">
        <v>261397377</v>
      </c>
      <c r="F20" s="28">
        <v>36000000</v>
      </c>
      <c r="G20" s="29">
        <v>575</v>
      </c>
      <c r="H20" s="29">
        <v>767</v>
      </c>
      <c r="I20" s="27" t="s">
        <v>88</v>
      </c>
      <c r="J20" s="27" t="s">
        <v>89</v>
      </c>
      <c r="K20" s="27" t="s">
        <v>144</v>
      </c>
      <c r="L20" s="27" t="s">
        <v>145</v>
      </c>
      <c r="M20" s="27" t="s">
        <v>2374</v>
      </c>
      <c r="N20" s="29">
        <v>2</v>
      </c>
      <c r="O20" s="27" t="s">
        <v>2375</v>
      </c>
      <c r="P20" s="27"/>
      <c r="Q20" s="27" t="s">
        <v>2376</v>
      </c>
      <c r="R20" s="27" t="s">
        <v>2377</v>
      </c>
      <c r="S20" s="27" t="s">
        <v>2378</v>
      </c>
      <c r="T20" s="27" t="s">
        <v>19</v>
      </c>
      <c r="U20" s="27" t="s">
        <v>2379</v>
      </c>
      <c r="V20" s="27" t="s">
        <v>321</v>
      </c>
      <c r="W20" s="27" t="s">
        <v>2380</v>
      </c>
      <c r="X20" s="27" t="s">
        <v>100</v>
      </c>
      <c r="Y20" s="27" t="s">
        <v>321</v>
      </c>
      <c r="Z20" s="27" t="s">
        <v>2381</v>
      </c>
      <c r="AA20" s="27" t="s">
        <v>100</v>
      </c>
      <c r="AB20" s="27" t="s">
        <v>321</v>
      </c>
      <c r="AC20" s="27" t="s">
        <v>2382</v>
      </c>
      <c r="AD20" s="27" t="s">
        <v>100</v>
      </c>
      <c r="AE20" s="27" t="s">
        <v>321</v>
      </c>
      <c r="AF20" s="27" t="s">
        <v>2383</v>
      </c>
      <c r="AG20" s="27" t="s">
        <v>104</v>
      </c>
      <c r="AH20" s="27" t="s">
        <v>2384</v>
      </c>
      <c r="AI20" s="27" t="s">
        <v>2385</v>
      </c>
      <c r="AJ20" s="27" t="s">
        <v>2386</v>
      </c>
      <c r="AK20" s="27" t="s">
        <v>2387</v>
      </c>
      <c r="AL20" s="27" t="s">
        <v>163</v>
      </c>
      <c r="AM20" s="27" t="s">
        <v>321</v>
      </c>
      <c r="AN20" s="27" t="s">
        <v>2388</v>
      </c>
      <c r="AO20" s="27" t="s">
        <v>2389</v>
      </c>
      <c r="AP20" s="27" t="s">
        <v>133</v>
      </c>
      <c r="AQ20" s="27" t="s">
        <v>321</v>
      </c>
      <c r="AR20" s="27" t="s">
        <v>2390</v>
      </c>
      <c r="AS20" s="27" t="s">
        <v>2391</v>
      </c>
      <c r="AT20" s="27" t="s">
        <v>163</v>
      </c>
      <c r="AU20" s="27" t="s">
        <v>321</v>
      </c>
      <c r="AV20" s="27" t="s">
        <v>2392</v>
      </c>
      <c r="AW20" s="27" t="s">
        <v>2393</v>
      </c>
      <c r="AX20" s="27" t="s">
        <v>2394</v>
      </c>
      <c r="AY20" s="27" t="s">
        <v>115</v>
      </c>
    </row>
    <row r="21" spans="1:51" x14ac:dyDescent="0.2">
      <c r="A21" s="24" t="s">
        <v>2395</v>
      </c>
      <c r="B21" s="24" t="s">
        <v>2396</v>
      </c>
      <c r="C21" s="24"/>
      <c r="D21" s="24" t="s">
        <v>87</v>
      </c>
      <c r="E21" s="25">
        <v>252718365</v>
      </c>
      <c r="F21" s="25">
        <v>19754000</v>
      </c>
      <c r="G21" s="26">
        <v>212</v>
      </c>
      <c r="H21" s="26">
        <v>931</v>
      </c>
      <c r="I21" s="24" t="s">
        <v>88</v>
      </c>
      <c r="J21" s="24" t="s">
        <v>89</v>
      </c>
      <c r="K21" s="24" t="s">
        <v>407</v>
      </c>
      <c r="L21" s="24" t="s">
        <v>408</v>
      </c>
      <c r="M21" s="24" t="s">
        <v>2397</v>
      </c>
      <c r="N21" s="26">
        <v>2</v>
      </c>
      <c r="O21" s="24" t="s">
        <v>2398</v>
      </c>
      <c r="P21" s="24" t="s">
        <v>2399</v>
      </c>
      <c r="Q21" s="24" t="s">
        <v>2400</v>
      </c>
      <c r="R21" s="24" t="s">
        <v>2401</v>
      </c>
      <c r="S21" s="24" t="s">
        <v>2402</v>
      </c>
      <c r="T21" s="24" t="s">
        <v>31</v>
      </c>
      <c r="U21" s="24" t="s">
        <v>2403</v>
      </c>
      <c r="V21" s="24" t="s">
        <v>352</v>
      </c>
      <c r="W21" s="24" t="s">
        <v>2404</v>
      </c>
      <c r="X21" s="24" t="s">
        <v>104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 t="s">
        <v>2405</v>
      </c>
      <c r="AI21" s="24"/>
      <c r="AJ21" s="24"/>
      <c r="AK21" s="24" t="s">
        <v>2406</v>
      </c>
      <c r="AL21" s="24" t="s">
        <v>109</v>
      </c>
      <c r="AM21" s="24" t="s">
        <v>98</v>
      </c>
      <c r="AN21" s="24" t="s">
        <v>2407</v>
      </c>
      <c r="AO21" s="24" t="s">
        <v>2408</v>
      </c>
      <c r="AP21" s="24" t="s">
        <v>208</v>
      </c>
      <c r="AQ21" s="24" t="s">
        <v>98</v>
      </c>
      <c r="AR21" s="24" t="s">
        <v>2409</v>
      </c>
      <c r="AS21" s="24" t="s">
        <v>2410</v>
      </c>
      <c r="AT21" s="24" t="s">
        <v>208</v>
      </c>
      <c r="AU21" s="24" t="s">
        <v>98</v>
      </c>
      <c r="AV21" s="24" t="s">
        <v>2411</v>
      </c>
      <c r="AW21" s="24" t="s">
        <v>2412</v>
      </c>
      <c r="AX21" s="24" t="s">
        <v>2413</v>
      </c>
      <c r="AY21" s="24" t="s">
        <v>115</v>
      </c>
    </row>
    <row r="22" spans="1:51" x14ac:dyDescent="0.2">
      <c r="A22" s="27" t="s">
        <v>2414</v>
      </c>
      <c r="B22" s="27" t="s">
        <v>2415</v>
      </c>
      <c r="C22" s="27"/>
      <c r="D22" s="27" t="s">
        <v>431</v>
      </c>
      <c r="E22" s="28">
        <v>235000945</v>
      </c>
      <c r="F22" s="28">
        <v>30000000</v>
      </c>
      <c r="G22" s="29">
        <v>274</v>
      </c>
      <c r="H22" s="29">
        <v>583</v>
      </c>
      <c r="I22" s="27" t="s">
        <v>143</v>
      </c>
      <c r="J22" s="27" t="s">
        <v>89</v>
      </c>
      <c r="K22" s="27" t="s">
        <v>168</v>
      </c>
      <c r="L22" s="27" t="s">
        <v>169</v>
      </c>
      <c r="M22" s="27" t="s">
        <v>2416</v>
      </c>
      <c r="N22" s="29">
        <v>0</v>
      </c>
      <c r="O22" s="27" t="s">
        <v>2417</v>
      </c>
      <c r="P22" s="27" t="s">
        <v>1999</v>
      </c>
      <c r="Q22" s="27" t="s">
        <v>2418</v>
      </c>
      <c r="R22" s="27" t="s">
        <v>2419</v>
      </c>
      <c r="S22" s="27" t="s">
        <v>2420</v>
      </c>
      <c r="T22" s="27" t="s">
        <v>31</v>
      </c>
      <c r="U22" s="27" t="s">
        <v>2421</v>
      </c>
      <c r="V22" s="27" t="s">
        <v>792</v>
      </c>
      <c r="W22" s="27" t="s">
        <v>2422</v>
      </c>
      <c r="X22" s="27" t="s">
        <v>100</v>
      </c>
      <c r="Y22" s="27" t="s">
        <v>792</v>
      </c>
      <c r="Z22" s="27" t="s">
        <v>2423</v>
      </c>
      <c r="AA22" s="27" t="s">
        <v>100</v>
      </c>
      <c r="AB22" s="27" t="s">
        <v>792</v>
      </c>
      <c r="AC22" s="27" t="s">
        <v>2424</v>
      </c>
      <c r="AD22" s="27" t="s">
        <v>100</v>
      </c>
      <c r="AE22" s="27" t="s">
        <v>792</v>
      </c>
      <c r="AF22" s="27" t="s">
        <v>2425</v>
      </c>
      <c r="AG22" s="27" t="s">
        <v>104</v>
      </c>
      <c r="AH22" s="27" t="s">
        <v>2426</v>
      </c>
      <c r="AI22" s="27" t="s">
        <v>2427</v>
      </c>
      <c r="AJ22" s="27" t="s">
        <v>2428</v>
      </c>
      <c r="AK22" s="27" t="s">
        <v>2429</v>
      </c>
      <c r="AL22" s="27" t="s">
        <v>136</v>
      </c>
      <c r="AM22" s="27" t="s">
        <v>98</v>
      </c>
      <c r="AN22" s="27" t="s">
        <v>2430</v>
      </c>
      <c r="AO22" s="27" t="s">
        <v>2431</v>
      </c>
      <c r="AP22" s="27" t="s">
        <v>163</v>
      </c>
      <c r="AQ22" s="27" t="s">
        <v>792</v>
      </c>
      <c r="AR22" s="27" t="s">
        <v>2432</v>
      </c>
      <c r="AS22" s="27" t="s">
        <v>2433</v>
      </c>
      <c r="AT22" s="27" t="s">
        <v>136</v>
      </c>
      <c r="AU22" s="27" t="s">
        <v>792</v>
      </c>
      <c r="AV22" s="27" t="s">
        <v>2434</v>
      </c>
      <c r="AW22" s="27" t="s">
        <v>2435</v>
      </c>
      <c r="AX22" s="27" t="s">
        <v>2436</v>
      </c>
      <c r="AY22" s="27" t="s">
        <v>115</v>
      </c>
    </row>
    <row r="23" spans="1:51" x14ac:dyDescent="0.2">
      <c r="A23" s="24" t="s">
        <v>2437</v>
      </c>
      <c r="B23" s="24" t="s">
        <v>2438</v>
      </c>
      <c r="C23" s="24"/>
      <c r="D23" s="24" t="s">
        <v>431</v>
      </c>
      <c r="E23" s="25">
        <v>224670294</v>
      </c>
      <c r="F23" s="25">
        <v>20000000</v>
      </c>
      <c r="G23" s="26">
        <v>160</v>
      </c>
      <c r="H23" s="26">
        <v>725</v>
      </c>
      <c r="I23" s="24" t="s">
        <v>88</v>
      </c>
      <c r="J23" s="24" t="s">
        <v>89</v>
      </c>
      <c r="K23" s="24" t="s">
        <v>90</v>
      </c>
      <c r="L23" s="24" t="s">
        <v>91</v>
      </c>
      <c r="M23" s="24" t="s">
        <v>2439</v>
      </c>
      <c r="N23" s="26">
        <v>2</v>
      </c>
      <c r="O23" s="24" t="s">
        <v>2440</v>
      </c>
      <c r="P23" s="24" t="s">
        <v>2441</v>
      </c>
      <c r="Q23" s="24"/>
      <c r="R23" s="24" t="s">
        <v>2442</v>
      </c>
      <c r="S23" s="24" t="s">
        <v>342</v>
      </c>
      <c r="T23" s="24" t="s">
        <v>31</v>
      </c>
      <c r="U23" s="24" t="s">
        <v>2443</v>
      </c>
      <c r="V23" s="24" t="s">
        <v>98</v>
      </c>
      <c r="W23" s="24" t="s">
        <v>2444</v>
      </c>
      <c r="X23" s="24" t="s">
        <v>100</v>
      </c>
      <c r="Y23" s="24" t="s">
        <v>98</v>
      </c>
      <c r="Z23" s="24" t="s">
        <v>2445</v>
      </c>
      <c r="AA23" s="24" t="s">
        <v>100</v>
      </c>
      <c r="AB23" s="24" t="s">
        <v>98</v>
      </c>
      <c r="AC23" s="24" t="s">
        <v>2446</v>
      </c>
      <c r="AD23" s="24" t="s">
        <v>100</v>
      </c>
      <c r="AE23" s="24" t="s">
        <v>98</v>
      </c>
      <c r="AF23" s="24" t="s">
        <v>2447</v>
      </c>
      <c r="AG23" s="24" t="s">
        <v>104</v>
      </c>
      <c r="AH23" s="24" t="s">
        <v>2448</v>
      </c>
      <c r="AI23" s="24" t="s">
        <v>2449</v>
      </c>
      <c r="AJ23" s="24" t="s">
        <v>2450</v>
      </c>
      <c r="AK23" s="24" t="s">
        <v>2451</v>
      </c>
      <c r="AL23" s="24" t="s">
        <v>133</v>
      </c>
      <c r="AM23" s="24" t="s">
        <v>98</v>
      </c>
      <c r="AN23" s="24" t="s">
        <v>2452</v>
      </c>
      <c r="AO23" s="24" t="s">
        <v>2453</v>
      </c>
      <c r="AP23" s="24" t="s">
        <v>286</v>
      </c>
      <c r="AQ23" s="24"/>
      <c r="AR23" s="24"/>
      <c r="AS23" s="24"/>
      <c r="AT23" s="24"/>
      <c r="AU23" s="24"/>
      <c r="AV23" s="24"/>
      <c r="AW23" s="24" t="s">
        <v>2454</v>
      </c>
      <c r="AX23" s="24" t="s">
        <v>2455</v>
      </c>
      <c r="AY23" s="24" t="s">
        <v>115</v>
      </c>
    </row>
    <row r="24" spans="1:51" x14ac:dyDescent="0.2">
      <c r="A24" s="27" t="s">
        <v>2456</v>
      </c>
      <c r="B24" s="27" t="s">
        <v>2457</v>
      </c>
      <c r="C24" s="27" t="s">
        <v>2458</v>
      </c>
      <c r="D24" s="27" t="s">
        <v>87</v>
      </c>
      <c r="E24" s="28">
        <v>219249373</v>
      </c>
      <c r="F24" s="28">
        <v>35000000</v>
      </c>
      <c r="G24" s="29">
        <v>1039</v>
      </c>
      <c r="H24" s="29">
        <v>918</v>
      </c>
      <c r="I24" s="27" t="s">
        <v>88</v>
      </c>
      <c r="J24" s="27" t="s">
        <v>89</v>
      </c>
      <c r="K24" s="27" t="s">
        <v>90</v>
      </c>
      <c r="L24" s="27" t="s">
        <v>91</v>
      </c>
      <c r="M24" s="27" t="s">
        <v>2459</v>
      </c>
      <c r="N24" s="29">
        <v>6</v>
      </c>
      <c r="O24" s="27" t="s">
        <v>2460</v>
      </c>
      <c r="P24" s="27" t="s">
        <v>2461</v>
      </c>
      <c r="Q24" s="27"/>
      <c r="R24" s="27" t="s">
        <v>2462</v>
      </c>
      <c r="S24" s="27" t="s">
        <v>1906</v>
      </c>
      <c r="T24" s="27" t="s">
        <v>21</v>
      </c>
      <c r="U24" s="27" t="s">
        <v>2463</v>
      </c>
      <c r="V24" s="27" t="s">
        <v>126</v>
      </c>
      <c r="W24" s="27" t="s">
        <v>2464</v>
      </c>
      <c r="X24" s="27" t="s">
        <v>100</v>
      </c>
      <c r="Y24" s="27" t="s">
        <v>126</v>
      </c>
      <c r="Z24" s="27" t="s">
        <v>2465</v>
      </c>
      <c r="AA24" s="27" t="s">
        <v>100</v>
      </c>
      <c r="AB24" s="27" t="s">
        <v>126</v>
      </c>
      <c r="AC24" s="27" t="s">
        <v>2466</v>
      </c>
      <c r="AD24" s="27" t="s">
        <v>100</v>
      </c>
      <c r="AE24" s="27" t="s">
        <v>126</v>
      </c>
      <c r="AF24" s="27" t="s">
        <v>2467</v>
      </c>
      <c r="AG24" s="27" t="s">
        <v>104</v>
      </c>
      <c r="AH24" s="27" t="s">
        <v>2468</v>
      </c>
      <c r="AI24" s="27" t="s">
        <v>2469</v>
      </c>
      <c r="AJ24" s="27" t="s">
        <v>2470</v>
      </c>
      <c r="AK24" s="27" t="s">
        <v>2471</v>
      </c>
      <c r="AL24" s="27" t="s">
        <v>109</v>
      </c>
      <c r="AM24" s="27" t="s">
        <v>126</v>
      </c>
      <c r="AN24" s="27" t="s">
        <v>2472</v>
      </c>
      <c r="AO24" s="27" t="s">
        <v>2473</v>
      </c>
      <c r="AP24" s="27" t="s">
        <v>185</v>
      </c>
      <c r="AQ24" s="27" t="s">
        <v>2474</v>
      </c>
      <c r="AR24" s="27" t="s">
        <v>2475</v>
      </c>
      <c r="AS24" s="27"/>
      <c r="AT24" s="27"/>
      <c r="AU24" s="27"/>
      <c r="AV24" s="27"/>
      <c r="AW24" s="27" t="s">
        <v>2476</v>
      </c>
      <c r="AX24" s="27" t="s">
        <v>2477</v>
      </c>
      <c r="AY24" s="27" t="s">
        <v>115</v>
      </c>
    </row>
    <row r="25" spans="1:51" x14ac:dyDescent="0.2">
      <c r="A25" s="24" t="s">
        <v>2478</v>
      </c>
      <c r="B25" s="24" t="s">
        <v>2479</v>
      </c>
      <c r="C25" s="24"/>
      <c r="D25" s="24" t="s">
        <v>431</v>
      </c>
      <c r="E25" s="25">
        <v>205704913</v>
      </c>
      <c r="F25" s="25">
        <v>19125650</v>
      </c>
      <c r="G25" s="26">
        <v>33</v>
      </c>
      <c r="H25" s="26">
        <v>288</v>
      </c>
      <c r="I25" s="24" t="s">
        <v>270</v>
      </c>
      <c r="J25" s="24" t="s">
        <v>89</v>
      </c>
      <c r="K25" s="24" t="s">
        <v>90</v>
      </c>
      <c r="L25" s="24" t="s">
        <v>91</v>
      </c>
      <c r="M25" s="24" t="s">
        <v>2480</v>
      </c>
      <c r="N25" s="26">
        <v>5</v>
      </c>
      <c r="O25" s="24" t="s">
        <v>1185</v>
      </c>
      <c r="P25" s="24" t="s">
        <v>1504</v>
      </c>
      <c r="Q25" s="24"/>
      <c r="R25" s="24" t="s">
        <v>2481</v>
      </c>
      <c r="S25" s="24" t="s">
        <v>2482</v>
      </c>
      <c r="T25" s="24" t="s">
        <v>21</v>
      </c>
      <c r="U25" s="24" t="s">
        <v>2483</v>
      </c>
      <c r="V25" s="24" t="s">
        <v>126</v>
      </c>
      <c r="W25" s="24" t="s">
        <v>2484</v>
      </c>
      <c r="X25" s="24" t="s">
        <v>100</v>
      </c>
      <c r="Y25" s="24" t="s">
        <v>126</v>
      </c>
      <c r="Z25" s="24" t="s">
        <v>2485</v>
      </c>
      <c r="AA25" s="24" t="s">
        <v>100</v>
      </c>
      <c r="AB25" s="24" t="s">
        <v>126</v>
      </c>
      <c r="AC25" s="24" t="s">
        <v>2486</v>
      </c>
      <c r="AD25" s="24" t="s">
        <v>100</v>
      </c>
      <c r="AE25" s="24" t="s">
        <v>126</v>
      </c>
      <c r="AF25" s="24" t="s">
        <v>2487</v>
      </c>
      <c r="AG25" s="24" t="s">
        <v>104</v>
      </c>
      <c r="AH25" s="24" t="s">
        <v>2488</v>
      </c>
      <c r="AI25" s="24"/>
      <c r="AJ25" s="24"/>
      <c r="AK25" s="24" t="s">
        <v>2489</v>
      </c>
      <c r="AL25" s="24" t="s">
        <v>163</v>
      </c>
      <c r="AM25" s="24" t="s">
        <v>126</v>
      </c>
      <c r="AN25" s="24" t="s">
        <v>2490</v>
      </c>
      <c r="AO25" s="24" t="s">
        <v>2491</v>
      </c>
      <c r="AP25" s="24" t="s">
        <v>163</v>
      </c>
      <c r="AQ25" s="24" t="s">
        <v>126</v>
      </c>
      <c r="AR25" s="24" t="s">
        <v>2492</v>
      </c>
      <c r="AS25" s="24" t="s">
        <v>2493</v>
      </c>
      <c r="AT25" s="24" t="s">
        <v>136</v>
      </c>
      <c r="AU25" s="24" t="s">
        <v>126</v>
      </c>
      <c r="AV25" s="24" t="s">
        <v>2494</v>
      </c>
      <c r="AW25" s="24" t="s">
        <v>2495</v>
      </c>
      <c r="AX25" s="24" t="s">
        <v>2496</v>
      </c>
      <c r="AY25" s="24" t="s">
        <v>115</v>
      </c>
    </row>
    <row r="26" spans="1:51" x14ac:dyDescent="0.2">
      <c r="A26" s="27" t="s">
        <v>2497</v>
      </c>
      <c r="B26" s="27" t="s">
        <v>2498</v>
      </c>
      <c r="C26" s="27" t="s">
        <v>2499</v>
      </c>
      <c r="D26" s="27" t="s">
        <v>87</v>
      </c>
      <c r="E26" s="28">
        <v>203370926</v>
      </c>
      <c r="F26" s="28">
        <v>8000000</v>
      </c>
      <c r="G26" s="29">
        <v>92</v>
      </c>
      <c r="H26" s="29">
        <v>864</v>
      </c>
      <c r="I26" s="27" t="s">
        <v>88</v>
      </c>
      <c r="J26" s="27" t="s">
        <v>89</v>
      </c>
      <c r="K26" s="27" t="s">
        <v>90</v>
      </c>
      <c r="L26" s="27" t="s">
        <v>91</v>
      </c>
      <c r="M26" s="27" t="s">
        <v>2500</v>
      </c>
      <c r="N26" s="29">
        <v>5</v>
      </c>
      <c r="O26" s="27" t="s">
        <v>2501</v>
      </c>
      <c r="P26" s="27" t="s">
        <v>1864</v>
      </c>
      <c r="Q26" s="27" t="s">
        <v>2502</v>
      </c>
      <c r="R26" s="27" t="s">
        <v>149</v>
      </c>
      <c r="S26" s="27" t="s">
        <v>2503</v>
      </c>
      <c r="T26" s="27" t="s">
        <v>21</v>
      </c>
      <c r="U26" s="27" t="s">
        <v>2504</v>
      </c>
      <c r="V26" s="27" t="s">
        <v>1063</v>
      </c>
      <c r="W26" s="27" t="s">
        <v>2505</v>
      </c>
      <c r="X26" s="27" t="s">
        <v>100</v>
      </c>
      <c r="Y26" s="27" t="s">
        <v>1063</v>
      </c>
      <c r="Z26" s="27" t="s">
        <v>2506</v>
      </c>
      <c r="AA26" s="27" t="s">
        <v>100</v>
      </c>
      <c r="AB26" s="27" t="s">
        <v>1063</v>
      </c>
      <c r="AC26" s="27" t="s">
        <v>2507</v>
      </c>
      <c r="AD26" s="27" t="s">
        <v>100</v>
      </c>
      <c r="AE26" s="27" t="s">
        <v>1063</v>
      </c>
      <c r="AF26" s="27" t="s">
        <v>2508</v>
      </c>
      <c r="AG26" s="27" t="s">
        <v>104</v>
      </c>
      <c r="AH26" s="27" t="s">
        <v>2509</v>
      </c>
      <c r="AI26" s="27" t="s">
        <v>2510</v>
      </c>
      <c r="AJ26" s="27" t="s">
        <v>2511</v>
      </c>
      <c r="AK26" s="27" t="s">
        <v>2512</v>
      </c>
      <c r="AL26" s="27" t="s">
        <v>133</v>
      </c>
      <c r="AM26" s="27" t="s">
        <v>1063</v>
      </c>
      <c r="AN26" s="27" t="s">
        <v>2513</v>
      </c>
      <c r="AO26" s="27" t="s">
        <v>2514</v>
      </c>
      <c r="AP26" s="27" t="s">
        <v>133</v>
      </c>
      <c r="AQ26" s="27" t="s">
        <v>1063</v>
      </c>
      <c r="AR26" s="27" t="s">
        <v>2515</v>
      </c>
      <c r="AS26" s="27"/>
      <c r="AT26" s="27"/>
      <c r="AU26" s="27"/>
      <c r="AV26" s="27"/>
      <c r="AW26" s="27" t="s">
        <v>2516</v>
      </c>
      <c r="AX26" s="27" t="s">
        <v>2517</v>
      </c>
      <c r="AY26" s="27" t="s">
        <v>115</v>
      </c>
    </row>
    <row r="27" spans="1:51" x14ac:dyDescent="0.2">
      <c r="A27" s="24" t="s">
        <v>2518</v>
      </c>
      <c r="B27" s="24" t="s">
        <v>2519</v>
      </c>
      <c r="C27" s="24" t="s">
        <v>2520</v>
      </c>
      <c r="D27" s="24" t="s">
        <v>87</v>
      </c>
      <c r="E27" s="25">
        <v>198143198</v>
      </c>
      <c r="F27" s="25">
        <v>12200000</v>
      </c>
      <c r="G27" s="26">
        <v>889</v>
      </c>
      <c r="H27" s="26">
        <v>808</v>
      </c>
      <c r="I27" s="24" t="s">
        <v>88</v>
      </c>
      <c r="J27" s="24" t="s">
        <v>89</v>
      </c>
      <c r="K27" s="24" t="s">
        <v>90</v>
      </c>
      <c r="L27" s="24" t="s">
        <v>91</v>
      </c>
      <c r="M27" s="24" t="s">
        <v>2521</v>
      </c>
      <c r="N27" s="26">
        <v>2</v>
      </c>
      <c r="O27" s="24" t="s">
        <v>2522</v>
      </c>
      <c r="P27" s="24" t="s">
        <v>2523</v>
      </c>
      <c r="Q27" s="24"/>
      <c r="R27" s="24" t="s">
        <v>2524</v>
      </c>
      <c r="S27" s="24" t="s">
        <v>2525</v>
      </c>
      <c r="T27" s="24" t="s">
        <v>27</v>
      </c>
      <c r="U27" s="24" t="s">
        <v>2526</v>
      </c>
      <c r="V27" s="24" t="s">
        <v>439</v>
      </c>
      <c r="W27" s="24" t="s">
        <v>2527</v>
      </c>
      <c r="X27" s="24" t="s">
        <v>100</v>
      </c>
      <c r="Y27" s="24" t="s">
        <v>439</v>
      </c>
      <c r="Z27" s="24" t="s">
        <v>2528</v>
      </c>
      <c r="AA27" s="24" t="s">
        <v>104</v>
      </c>
      <c r="AB27" s="24"/>
      <c r="AC27" s="24"/>
      <c r="AD27" s="24"/>
      <c r="AE27" s="24"/>
      <c r="AF27" s="24"/>
      <c r="AG27" s="24"/>
      <c r="AH27" s="24" t="s">
        <v>2529</v>
      </c>
      <c r="AI27" s="24" t="s">
        <v>2530</v>
      </c>
      <c r="AJ27" s="24" t="s">
        <v>2531</v>
      </c>
      <c r="AK27" s="24" t="s">
        <v>2532</v>
      </c>
      <c r="AL27" s="24" t="s">
        <v>109</v>
      </c>
      <c r="AM27" s="24" t="s">
        <v>439</v>
      </c>
      <c r="AN27" s="24" t="s">
        <v>2533</v>
      </c>
      <c r="AO27" s="24" t="s">
        <v>2534</v>
      </c>
      <c r="AP27" s="24" t="s">
        <v>109</v>
      </c>
      <c r="AQ27" s="24" t="s">
        <v>439</v>
      </c>
      <c r="AR27" s="24" t="s">
        <v>2535</v>
      </c>
      <c r="AS27" s="24"/>
      <c r="AT27" s="24"/>
      <c r="AU27" s="24"/>
      <c r="AV27" s="24"/>
      <c r="AW27" s="24" t="s">
        <v>2536</v>
      </c>
      <c r="AX27" s="24" t="s">
        <v>2537</v>
      </c>
      <c r="AY27" s="24" t="s">
        <v>290</v>
      </c>
    </row>
    <row r="28" spans="1:51" x14ac:dyDescent="0.2">
      <c r="A28" s="27" t="s">
        <v>2538</v>
      </c>
      <c r="B28" s="27" t="s">
        <v>2539</v>
      </c>
      <c r="C28" s="27"/>
      <c r="D28" s="27" t="s">
        <v>87</v>
      </c>
      <c r="E28" s="28">
        <v>193264935</v>
      </c>
      <c r="F28" s="28">
        <v>66993040</v>
      </c>
      <c r="G28" s="29">
        <v>722</v>
      </c>
      <c r="H28" s="29">
        <v>813</v>
      </c>
      <c r="I28" s="27" t="s">
        <v>88</v>
      </c>
      <c r="J28" s="27" t="s">
        <v>89</v>
      </c>
      <c r="K28" s="27" t="s">
        <v>192</v>
      </c>
      <c r="L28" s="27" t="s">
        <v>193</v>
      </c>
      <c r="M28" s="27" t="s">
        <v>2540</v>
      </c>
      <c r="N28" s="29">
        <v>5</v>
      </c>
      <c r="O28" s="27" t="s">
        <v>2541</v>
      </c>
      <c r="P28" s="27" t="s">
        <v>2542</v>
      </c>
      <c r="Q28" s="27" t="s">
        <v>2543</v>
      </c>
      <c r="R28" s="27" t="s">
        <v>2544</v>
      </c>
      <c r="S28" s="27" t="s">
        <v>681</v>
      </c>
      <c r="T28" s="27" t="s">
        <v>26</v>
      </c>
      <c r="U28" s="27" t="s">
        <v>2545</v>
      </c>
      <c r="V28" s="27" t="s">
        <v>280</v>
      </c>
      <c r="W28" s="27" t="s">
        <v>2546</v>
      </c>
      <c r="X28" s="27" t="s">
        <v>100</v>
      </c>
      <c r="Y28" s="27" t="s">
        <v>252</v>
      </c>
      <c r="Z28" s="27" t="s">
        <v>2547</v>
      </c>
      <c r="AA28" s="27" t="s">
        <v>100</v>
      </c>
      <c r="AB28" s="27" t="s">
        <v>394</v>
      </c>
      <c r="AC28" s="27" t="s">
        <v>2548</v>
      </c>
      <c r="AD28" s="27" t="s">
        <v>100</v>
      </c>
      <c r="AE28" s="27" t="s">
        <v>852</v>
      </c>
      <c r="AF28" s="27" t="s">
        <v>2549</v>
      </c>
      <c r="AG28" s="27" t="s">
        <v>104</v>
      </c>
      <c r="AH28" s="27" t="s">
        <v>2550</v>
      </c>
      <c r="AI28" s="27" t="s">
        <v>2551</v>
      </c>
      <c r="AJ28" s="27" t="s">
        <v>2552</v>
      </c>
      <c r="AK28" s="27" t="s">
        <v>2553</v>
      </c>
      <c r="AL28" s="27" t="s">
        <v>109</v>
      </c>
      <c r="AM28" s="27" t="s">
        <v>280</v>
      </c>
      <c r="AN28" s="27" t="s">
        <v>2554</v>
      </c>
      <c r="AO28" s="27" t="s">
        <v>2555</v>
      </c>
      <c r="AP28" s="27" t="s">
        <v>185</v>
      </c>
      <c r="AQ28" s="27" t="s">
        <v>280</v>
      </c>
      <c r="AR28" s="27" t="s">
        <v>2556</v>
      </c>
      <c r="AS28" s="27" t="s">
        <v>2557</v>
      </c>
      <c r="AT28" s="27" t="s">
        <v>109</v>
      </c>
      <c r="AU28" s="27" t="s">
        <v>280</v>
      </c>
      <c r="AV28" s="27" t="s">
        <v>2558</v>
      </c>
      <c r="AW28" s="27" t="s">
        <v>2559</v>
      </c>
      <c r="AX28" s="27" t="s">
        <v>2560</v>
      </c>
      <c r="AY28" s="27" t="s">
        <v>115</v>
      </c>
    </row>
    <row r="29" spans="1:51" x14ac:dyDescent="0.2">
      <c r="A29" s="24" t="s">
        <v>2561</v>
      </c>
      <c r="B29" s="24" t="s">
        <v>2562</v>
      </c>
      <c r="C29" s="24"/>
      <c r="D29" s="24" t="s">
        <v>87</v>
      </c>
      <c r="E29" s="25">
        <v>188165279</v>
      </c>
      <c r="F29" s="25">
        <v>1040000</v>
      </c>
      <c r="G29" s="26">
        <v>399</v>
      </c>
      <c r="H29" s="26">
        <v>485</v>
      </c>
      <c r="I29" s="24" t="s">
        <v>219</v>
      </c>
      <c r="J29" s="24" t="s">
        <v>89</v>
      </c>
      <c r="K29" s="24" t="s">
        <v>336</v>
      </c>
      <c r="L29" s="24" t="s">
        <v>337</v>
      </c>
      <c r="M29" s="24" t="s">
        <v>2563</v>
      </c>
      <c r="N29" s="26">
        <v>2</v>
      </c>
      <c r="O29" s="24" t="s">
        <v>2564</v>
      </c>
      <c r="P29" s="24" t="s">
        <v>2565</v>
      </c>
      <c r="Q29" s="24"/>
      <c r="R29" s="24" t="s">
        <v>2566</v>
      </c>
      <c r="S29" s="24" t="s">
        <v>319</v>
      </c>
      <c r="T29" s="24" t="s">
        <v>31</v>
      </c>
      <c r="U29" s="24" t="s">
        <v>2567</v>
      </c>
      <c r="V29" s="24" t="s">
        <v>98</v>
      </c>
      <c r="W29" s="24" t="s">
        <v>2568</v>
      </c>
      <c r="X29" s="24" t="s">
        <v>100</v>
      </c>
      <c r="Y29" s="24" t="s">
        <v>98</v>
      </c>
      <c r="Z29" s="24" t="s">
        <v>2569</v>
      </c>
      <c r="AA29" s="24" t="s">
        <v>100</v>
      </c>
      <c r="AB29" s="24" t="s">
        <v>98</v>
      </c>
      <c r="AC29" s="24" t="s">
        <v>2570</v>
      </c>
      <c r="AD29" s="24" t="s">
        <v>100</v>
      </c>
      <c r="AE29" s="24" t="s">
        <v>98</v>
      </c>
      <c r="AF29" s="24" t="s">
        <v>2571</v>
      </c>
      <c r="AG29" s="24" t="s">
        <v>104</v>
      </c>
      <c r="AH29" s="24" t="s">
        <v>2572</v>
      </c>
      <c r="AI29" s="24" t="s">
        <v>2573</v>
      </c>
      <c r="AJ29" s="24" t="s">
        <v>2574</v>
      </c>
      <c r="AK29" s="24" t="s">
        <v>2575</v>
      </c>
      <c r="AL29" s="24" t="s">
        <v>133</v>
      </c>
      <c r="AM29" s="24" t="s">
        <v>98</v>
      </c>
      <c r="AN29" s="24" t="s">
        <v>2576</v>
      </c>
      <c r="AO29" s="24" t="s">
        <v>2577</v>
      </c>
      <c r="AP29" s="24" t="s">
        <v>163</v>
      </c>
      <c r="AQ29" s="24" t="s">
        <v>98</v>
      </c>
      <c r="AR29" s="24" t="s">
        <v>2571</v>
      </c>
      <c r="AS29" s="24" t="s">
        <v>2578</v>
      </c>
      <c r="AT29" s="24" t="s">
        <v>286</v>
      </c>
      <c r="AU29" s="24" t="s">
        <v>98</v>
      </c>
      <c r="AV29" s="24" t="s">
        <v>2579</v>
      </c>
      <c r="AW29" s="24" t="s">
        <v>2580</v>
      </c>
      <c r="AX29" s="24" t="s">
        <v>2581</v>
      </c>
      <c r="AY29" s="24" t="s">
        <v>115</v>
      </c>
    </row>
    <row r="30" spans="1:51" x14ac:dyDescent="0.2">
      <c r="A30" s="27" t="s">
        <v>2582</v>
      </c>
      <c r="B30" s="27" t="s">
        <v>2583</v>
      </c>
      <c r="C30" s="27"/>
      <c r="D30" s="27" t="s">
        <v>431</v>
      </c>
      <c r="E30" s="28">
        <v>181267521</v>
      </c>
      <c r="F30" s="28">
        <v>98630647</v>
      </c>
      <c r="G30" s="29"/>
      <c r="H30" s="29">
        <v>87</v>
      </c>
      <c r="I30" s="27" t="s">
        <v>1802</v>
      </c>
      <c r="J30" s="27" t="s">
        <v>89</v>
      </c>
      <c r="K30" s="27" t="s">
        <v>220</v>
      </c>
      <c r="L30" s="27" t="s">
        <v>221</v>
      </c>
      <c r="M30" s="27" t="s">
        <v>2584</v>
      </c>
      <c r="N30" s="29">
        <v>1</v>
      </c>
      <c r="O30" s="27" t="s">
        <v>2585</v>
      </c>
      <c r="P30" s="27" t="s">
        <v>2586</v>
      </c>
      <c r="Q30" s="27" t="s">
        <v>2587</v>
      </c>
      <c r="R30" s="27" t="s">
        <v>2585</v>
      </c>
      <c r="S30" s="27" t="s">
        <v>437</v>
      </c>
      <c r="T30" s="27" t="s">
        <v>27</v>
      </c>
      <c r="U30" s="27" t="s">
        <v>2588</v>
      </c>
      <c r="V30" s="27" t="s">
        <v>439</v>
      </c>
      <c r="W30" s="27" t="s">
        <v>2589</v>
      </c>
      <c r="X30" s="27" t="s">
        <v>104</v>
      </c>
      <c r="Y30" s="27"/>
      <c r="Z30" s="27"/>
      <c r="AA30" s="27"/>
      <c r="AB30" s="27"/>
      <c r="AC30" s="27"/>
      <c r="AD30" s="27"/>
      <c r="AE30" s="27"/>
      <c r="AF30" s="27"/>
      <c r="AG30" s="27"/>
      <c r="AH30" s="27" t="s">
        <v>2590</v>
      </c>
      <c r="AI30" s="27" t="s">
        <v>2591</v>
      </c>
      <c r="AJ30" s="27"/>
      <c r="AK30" s="27" t="s">
        <v>2592</v>
      </c>
      <c r="AL30" s="27" t="s">
        <v>237</v>
      </c>
      <c r="AM30" s="27"/>
      <c r="AN30" s="27"/>
      <c r="AO30" s="27" t="s">
        <v>2593</v>
      </c>
      <c r="AP30" s="27" t="s">
        <v>163</v>
      </c>
      <c r="AQ30" s="27" t="s">
        <v>439</v>
      </c>
      <c r="AR30" s="27" t="s">
        <v>2589</v>
      </c>
      <c r="AS30" s="27" t="s">
        <v>2594</v>
      </c>
      <c r="AT30" s="27" t="s">
        <v>136</v>
      </c>
      <c r="AU30" s="27"/>
      <c r="AV30" s="27"/>
      <c r="AW30" s="27" t="s">
        <v>2595</v>
      </c>
      <c r="AX30" s="27" t="s">
        <v>2596</v>
      </c>
      <c r="AY30" s="27" t="s">
        <v>290</v>
      </c>
    </row>
    <row r="31" spans="1:51" x14ac:dyDescent="0.2">
      <c r="A31" s="24" t="s">
        <v>2597</v>
      </c>
      <c r="B31" s="24" t="s">
        <v>2598</v>
      </c>
      <c r="C31" s="24"/>
      <c r="D31" s="24" t="s">
        <v>431</v>
      </c>
      <c r="E31" s="25">
        <v>174291702</v>
      </c>
      <c r="F31" s="25">
        <v>33430000</v>
      </c>
      <c r="G31" s="26">
        <v>58</v>
      </c>
      <c r="H31" s="26">
        <v>49</v>
      </c>
      <c r="I31" s="24" t="s">
        <v>1802</v>
      </c>
      <c r="J31" s="24" t="s">
        <v>89</v>
      </c>
      <c r="K31" s="24" t="s">
        <v>2599</v>
      </c>
      <c r="L31" s="24" t="s">
        <v>2600</v>
      </c>
      <c r="M31" s="24" t="s">
        <v>2601</v>
      </c>
      <c r="N31" s="26">
        <v>0</v>
      </c>
      <c r="O31" s="24" t="s">
        <v>2602</v>
      </c>
      <c r="P31" s="24"/>
      <c r="Q31" s="24" t="s">
        <v>2603</v>
      </c>
      <c r="R31" s="24" t="s">
        <v>2604</v>
      </c>
      <c r="S31" s="24" t="s">
        <v>2605</v>
      </c>
      <c r="T31" s="24" t="s">
        <v>20</v>
      </c>
      <c r="U31" s="24" t="s">
        <v>2606</v>
      </c>
      <c r="V31" s="24" t="s">
        <v>554</v>
      </c>
      <c r="W31" s="24" t="s">
        <v>2607</v>
      </c>
      <c r="X31" s="24" t="s">
        <v>104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 t="s">
        <v>2608</v>
      </c>
      <c r="AI31" s="24" t="s">
        <v>2609</v>
      </c>
      <c r="AJ31" s="24"/>
      <c r="AK31" s="24" t="s">
        <v>2610</v>
      </c>
      <c r="AL31" s="24" t="s">
        <v>133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 t="s">
        <v>2611</v>
      </c>
      <c r="AX31" s="24" t="s">
        <v>2612</v>
      </c>
      <c r="AY31" s="24" t="s">
        <v>290</v>
      </c>
    </row>
    <row r="32" spans="1:51" x14ac:dyDescent="0.2">
      <c r="A32" s="27" t="s">
        <v>2613</v>
      </c>
      <c r="B32" s="27" t="s">
        <v>2614</v>
      </c>
      <c r="C32" s="27"/>
      <c r="D32" s="27" t="s">
        <v>87</v>
      </c>
      <c r="E32" s="28">
        <v>169379310</v>
      </c>
      <c r="F32" s="28">
        <v>8000000</v>
      </c>
      <c r="G32" s="29">
        <v>331</v>
      </c>
      <c r="H32" s="29">
        <v>470</v>
      </c>
      <c r="I32" s="27" t="s">
        <v>219</v>
      </c>
      <c r="J32" s="27" t="s">
        <v>89</v>
      </c>
      <c r="K32" s="27" t="s">
        <v>90</v>
      </c>
      <c r="L32" s="27" t="s">
        <v>91</v>
      </c>
      <c r="M32" s="27" t="s">
        <v>2615</v>
      </c>
      <c r="N32" s="29">
        <v>6</v>
      </c>
      <c r="O32" s="27" t="s">
        <v>339</v>
      </c>
      <c r="P32" s="27" t="s">
        <v>549</v>
      </c>
      <c r="Q32" s="27" t="s">
        <v>2616</v>
      </c>
      <c r="R32" s="27" t="s">
        <v>2617</v>
      </c>
      <c r="S32" s="27" t="s">
        <v>2618</v>
      </c>
      <c r="T32" s="27" t="s">
        <v>31</v>
      </c>
      <c r="U32" s="27" t="s">
        <v>2619</v>
      </c>
      <c r="V32" s="27" t="s">
        <v>352</v>
      </c>
      <c r="W32" s="27" t="s">
        <v>2620</v>
      </c>
      <c r="X32" s="27" t="s">
        <v>100</v>
      </c>
      <c r="Y32" s="27" t="s">
        <v>352</v>
      </c>
      <c r="Z32" s="27" t="s">
        <v>2621</v>
      </c>
      <c r="AA32" s="27" t="s">
        <v>100</v>
      </c>
      <c r="AB32" s="27" t="s">
        <v>352</v>
      </c>
      <c r="AC32" s="27" t="s">
        <v>2622</v>
      </c>
      <c r="AD32" s="27" t="s">
        <v>100</v>
      </c>
      <c r="AE32" s="27" t="s">
        <v>352</v>
      </c>
      <c r="AF32" s="27" t="s">
        <v>2623</v>
      </c>
      <c r="AG32" s="27" t="s">
        <v>104</v>
      </c>
      <c r="AH32" s="27" t="s">
        <v>2624</v>
      </c>
      <c r="AI32" s="27" t="s">
        <v>2625</v>
      </c>
      <c r="AJ32" s="27" t="s">
        <v>2626</v>
      </c>
      <c r="AK32" s="27" t="s">
        <v>2627</v>
      </c>
      <c r="AL32" s="27" t="s">
        <v>136</v>
      </c>
      <c r="AM32" s="27" t="s">
        <v>941</v>
      </c>
      <c r="AN32" s="27" t="s">
        <v>2628</v>
      </c>
      <c r="AO32" s="27" t="s">
        <v>2629</v>
      </c>
      <c r="AP32" s="27" t="s">
        <v>136</v>
      </c>
      <c r="AQ32" s="27" t="s">
        <v>941</v>
      </c>
      <c r="AR32" s="27" t="s">
        <v>2630</v>
      </c>
      <c r="AS32" s="27" t="s">
        <v>2631</v>
      </c>
      <c r="AT32" s="27" t="s">
        <v>136</v>
      </c>
      <c r="AU32" s="27"/>
      <c r="AV32" s="27"/>
      <c r="AW32" s="27" t="s">
        <v>2632</v>
      </c>
      <c r="AX32" s="27" t="s">
        <v>2633</v>
      </c>
      <c r="AY32" s="27" t="s">
        <v>115</v>
      </c>
    </row>
    <row r="33" spans="1:51" x14ac:dyDescent="0.2">
      <c r="A33" s="24" t="s">
        <v>2634</v>
      </c>
      <c r="B33" s="24" t="s">
        <v>2635</v>
      </c>
      <c r="C33" s="24"/>
      <c r="D33" s="24" t="s">
        <v>431</v>
      </c>
      <c r="E33" s="25">
        <v>161618293</v>
      </c>
      <c r="F33" s="25">
        <v>1660000</v>
      </c>
      <c r="G33" s="26">
        <v>295</v>
      </c>
      <c r="H33" s="26">
        <v>978</v>
      </c>
      <c r="I33" s="24" t="s">
        <v>88</v>
      </c>
      <c r="J33" s="24" t="s">
        <v>89</v>
      </c>
      <c r="K33" s="24" t="s">
        <v>1225</v>
      </c>
      <c r="L33" s="24" t="s">
        <v>1226</v>
      </c>
      <c r="M33" s="24" t="s">
        <v>2636</v>
      </c>
      <c r="N33" s="26">
        <v>1</v>
      </c>
      <c r="O33" s="24" t="s">
        <v>2637</v>
      </c>
      <c r="P33" s="24" t="s">
        <v>2638</v>
      </c>
      <c r="Q33" s="24" t="s">
        <v>2639</v>
      </c>
      <c r="R33" s="24"/>
      <c r="S33" s="24" t="s">
        <v>2640</v>
      </c>
      <c r="T33" s="24" t="s">
        <v>29</v>
      </c>
      <c r="U33" s="24" t="s">
        <v>2641</v>
      </c>
      <c r="V33" s="24" t="s">
        <v>233</v>
      </c>
      <c r="W33" s="24" t="s">
        <v>2642</v>
      </c>
      <c r="X33" s="24" t="s">
        <v>100</v>
      </c>
      <c r="Y33" s="24" t="s">
        <v>233</v>
      </c>
      <c r="Z33" s="24" t="s">
        <v>2643</v>
      </c>
      <c r="AA33" s="24" t="s">
        <v>100</v>
      </c>
      <c r="AB33" s="24" t="s">
        <v>233</v>
      </c>
      <c r="AC33" s="24" t="s">
        <v>2644</v>
      </c>
      <c r="AD33" s="24" t="s">
        <v>100</v>
      </c>
      <c r="AE33" s="24" t="s">
        <v>233</v>
      </c>
      <c r="AF33" s="24" t="s">
        <v>2645</v>
      </c>
      <c r="AG33" s="24" t="s">
        <v>104</v>
      </c>
      <c r="AH33" s="24" t="s">
        <v>2646</v>
      </c>
      <c r="AI33" s="24"/>
      <c r="AJ33" s="24"/>
      <c r="AK33" s="24" t="s">
        <v>2647</v>
      </c>
      <c r="AL33" s="24" t="s">
        <v>286</v>
      </c>
      <c r="AM33" s="24" t="s">
        <v>233</v>
      </c>
      <c r="AN33" s="24" t="s">
        <v>2648</v>
      </c>
      <c r="AO33" s="24"/>
      <c r="AP33" s="24"/>
      <c r="AQ33" s="24"/>
      <c r="AR33" s="24"/>
      <c r="AS33" s="24"/>
      <c r="AT33" s="24"/>
      <c r="AU33" s="24"/>
      <c r="AV33" s="24"/>
      <c r="AW33" s="24" t="s">
        <v>2649</v>
      </c>
      <c r="AX33" s="24" t="s">
        <v>2650</v>
      </c>
      <c r="AY33" s="24" t="s">
        <v>115</v>
      </c>
    </row>
    <row r="34" spans="1:51" x14ac:dyDescent="0.2">
      <c r="A34" s="27" t="s">
        <v>2651</v>
      </c>
      <c r="B34" s="27" t="s">
        <v>2652</v>
      </c>
      <c r="C34" s="27" t="s">
        <v>2653</v>
      </c>
      <c r="D34" s="27" t="s">
        <v>431</v>
      </c>
      <c r="E34" s="28">
        <v>160132283</v>
      </c>
      <c r="F34" s="28">
        <v>51217940</v>
      </c>
      <c r="G34" s="29">
        <v>502</v>
      </c>
      <c r="H34" s="29">
        <v>448</v>
      </c>
      <c r="I34" s="27" t="s">
        <v>219</v>
      </c>
      <c r="J34" s="27" t="s">
        <v>89</v>
      </c>
      <c r="K34" s="27" t="s">
        <v>244</v>
      </c>
      <c r="L34" s="27" t="s">
        <v>245</v>
      </c>
      <c r="M34" s="27" t="s">
        <v>2654</v>
      </c>
      <c r="N34" s="29">
        <v>3</v>
      </c>
      <c r="O34" s="27" t="s">
        <v>2655</v>
      </c>
      <c r="P34" s="27" t="s">
        <v>2656</v>
      </c>
      <c r="Q34" s="27" t="s">
        <v>2657</v>
      </c>
      <c r="R34" s="27" t="s">
        <v>2658</v>
      </c>
      <c r="S34" s="27" t="s">
        <v>2659</v>
      </c>
      <c r="T34" s="27" t="s">
        <v>17</v>
      </c>
      <c r="U34" s="27" t="s">
        <v>2660</v>
      </c>
      <c r="V34" s="27" t="s">
        <v>450</v>
      </c>
      <c r="W34" s="27" t="s">
        <v>2661</v>
      </c>
      <c r="X34" s="27" t="s">
        <v>100</v>
      </c>
      <c r="Y34" s="27" t="s">
        <v>450</v>
      </c>
      <c r="Z34" s="27" t="s">
        <v>2662</v>
      </c>
      <c r="AA34" s="27" t="s">
        <v>100</v>
      </c>
      <c r="AB34" s="27" t="s">
        <v>450</v>
      </c>
      <c r="AC34" s="27" t="s">
        <v>2663</v>
      </c>
      <c r="AD34" s="27" t="s">
        <v>100</v>
      </c>
      <c r="AE34" s="27" t="s">
        <v>450</v>
      </c>
      <c r="AF34" s="27" t="s">
        <v>2664</v>
      </c>
      <c r="AG34" s="27" t="s">
        <v>104</v>
      </c>
      <c r="AH34" s="27" t="s">
        <v>2665</v>
      </c>
      <c r="AI34" s="27"/>
      <c r="AJ34" s="27"/>
      <c r="AK34" s="27" t="s">
        <v>2666</v>
      </c>
      <c r="AL34" s="27" t="s">
        <v>163</v>
      </c>
      <c r="AM34" s="27" t="s">
        <v>450</v>
      </c>
      <c r="AN34" s="27" t="s">
        <v>2667</v>
      </c>
      <c r="AO34" s="27" t="s">
        <v>2668</v>
      </c>
      <c r="AP34" s="27" t="s">
        <v>237</v>
      </c>
      <c r="AQ34" s="27"/>
      <c r="AR34" s="27"/>
      <c r="AS34" s="27" t="s">
        <v>2669</v>
      </c>
      <c r="AT34" s="27" t="s">
        <v>136</v>
      </c>
      <c r="AU34" s="27" t="s">
        <v>941</v>
      </c>
      <c r="AV34" s="27" t="s">
        <v>2670</v>
      </c>
      <c r="AW34" s="27" t="s">
        <v>2671</v>
      </c>
      <c r="AX34" s="27" t="s">
        <v>2672</v>
      </c>
      <c r="AY34" s="27" t="s">
        <v>115</v>
      </c>
    </row>
    <row r="35" spans="1:51" x14ac:dyDescent="0.2">
      <c r="A35" s="24" t="s">
        <v>2673</v>
      </c>
      <c r="B35" s="24" t="s">
        <v>2674</v>
      </c>
      <c r="C35" s="24"/>
      <c r="D35" s="24" t="s">
        <v>87</v>
      </c>
      <c r="E35" s="25">
        <v>155388526</v>
      </c>
      <c r="F35" s="25">
        <v>49801300</v>
      </c>
      <c r="G35" s="26">
        <v>358</v>
      </c>
      <c r="H35" s="26">
        <v>435</v>
      </c>
      <c r="I35" s="24" t="s">
        <v>219</v>
      </c>
      <c r="J35" s="24" t="s">
        <v>89</v>
      </c>
      <c r="K35" s="24" t="s">
        <v>336</v>
      </c>
      <c r="L35" s="24" t="s">
        <v>337</v>
      </c>
      <c r="M35" s="24" t="s">
        <v>2675</v>
      </c>
      <c r="N35" s="26">
        <v>5</v>
      </c>
      <c r="O35" s="24" t="s">
        <v>2676</v>
      </c>
      <c r="P35" s="24" t="s">
        <v>2677</v>
      </c>
      <c r="Q35" s="24" t="s">
        <v>2678</v>
      </c>
      <c r="R35" s="24" t="s">
        <v>2679</v>
      </c>
      <c r="S35" s="24" t="s">
        <v>2680</v>
      </c>
      <c r="T35" s="24" t="s">
        <v>31</v>
      </c>
      <c r="U35" s="24" t="s">
        <v>2681</v>
      </c>
      <c r="V35" s="24" t="s">
        <v>352</v>
      </c>
      <c r="W35" s="24" t="s">
        <v>2682</v>
      </c>
      <c r="X35" s="24" t="s">
        <v>100</v>
      </c>
      <c r="Y35" s="24" t="s">
        <v>352</v>
      </c>
      <c r="Z35" s="24" t="s">
        <v>2683</v>
      </c>
      <c r="AA35" s="24" t="s">
        <v>100</v>
      </c>
      <c r="AB35" s="24" t="s">
        <v>352</v>
      </c>
      <c r="AC35" s="24" t="s">
        <v>2684</v>
      </c>
      <c r="AD35" s="24" t="s">
        <v>100</v>
      </c>
      <c r="AE35" s="24" t="s">
        <v>352</v>
      </c>
      <c r="AF35" s="24" t="s">
        <v>2685</v>
      </c>
      <c r="AG35" s="24" t="s">
        <v>104</v>
      </c>
      <c r="AH35" s="24" t="s">
        <v>2686</v>
      </c>
      <c r="AI35" s="24" t="s">
        <v>2687</v>
      </c>
      <c r="AJ35" s="24" t="s">
        <v>2688</v>
      </c>
      <c r="AK35" s="24" t="s">
        <v>2689</v>
      </c>
      <c r="AL35" s="24" t="s">
        <v>163</v>
      </c>
      <c r="AM35" s="24" t="s">
        <v>352</v>
      </c>
      <c r="AN35" s="24" t="s">
        <v>2690</v>
      </c>
      <c r="AO35" s="24" t="s">
        <v>2691</v>
      </c>
      <c r="AP35" s="24" t="s">
        <v>163</v>
      </c>
      <c r="AQ35" s="24" t="s">
        <v>352</v>
      </c>
      <c r="AR35" s="24" t="s">
        <v>2690</v>
      </c>
      <c r="AS35" s="24" t="s">
        <v>2692</v>
      </c>
      <c r="AT35" s="24" t="s">
        <v>133</v>
      </c>
      <c r="AU35" s="24" t="s">
        <v>352</v>
      </c>
      <c r="AV35" s="24" t="s">
        <v>2693</v>
      </c>
      <c r="AW35" s="24" t="s">
        <v>2694</v>
      </c>
      <c r="AX35" s="24" t="s">
        <v>2695</v>
      </c>
      <c r="AY35" s="24" t="s">
        <v>115</v>
      </c>
    </row>
    <row r="36" spans="1:51" x14ac:dyDescent="0.2">
      <c r="A36" s="27" t="s">
        <v>2696</v>
      </c>
      <c r="B36" s="27" t="s">
        <v>2697</v>
      </c>
      <c r="C36" s="27" t="s">
        <v>2698</v>
      </c>
      <c r="D36" s="27" t="s">
        <v>87</v>
      </c>
      <c r="E36" s="28">
        <v>150572118</v>
      </c>
      <c r="F36" s="28">
        <v>3000000</v>
      </c>
      <c r="G36" s="29">
        <v>166</v>
      </c>
      <c r="H36" s="29">
        <v>664</v>
      </c>
      <c r="I36" s="27" t="s">
        <v>143</v>
      </c>
      <c r="J36" s="27" t="s">
        <v>89</v>
      </c>
      <c r="K36" s="27" t="s">
        <v>90</v>
      </c>
      <c r="L36" s="27" t="s">
        <v>91</v>
      </c>
      <c r="M36" s="27" t="s">
        <v>2699</v>
      </c>
      <c r="N36" s="29">
        <v>10</v>
      </c>
      <c r="O36" s="27" t="s">
        <v>2700</v>
      </c>
      <c r="P36" s="27" t="s">
        <v>2701</v>
      </c>
      <c r="Q36" s="27"/>
      <c r="R36" s="27" t="s">
        <v>2702</v>
      </c>
      <c r="S36" s="27" t="s">
        <v>1188</v>
      </c>
      <c r="T36" s="27" t="s">
        <v>26</v>
      </c>
      <c r="U36" s="27" t="s">
        <v>2703</v>
      </c>
      <c r="V36" s="27" t="s">
        <v>252</v>
      </c>
      <c r="W36" s="27" t="s">
        <v>2704</v>
      </c>
      <c r="X36" s="27" t="s">
        <v>100</v>
      </c>
      <c r="Y36" s="27" t="s">
        <v>252</v>
      </c>
      <c r="Z36" s="27" t="s">
        <v>2705</v>
      </c>
      <c r="AA36" s="27" t="s">
        <v>104</v>
      </c>
      <c r="AB36" s="27"/>
      <c r="AC36" s="27"/>
      <c r="AD36" s="27"/>
      <c r="AE36" s="27"/>
      <c r="AF36" s="27"/>
      <c r="AG36" s="27"/>
      <c r="AH36" s="27" t="s">
        <v>2706</v>
      </c>
      <c r="AI36" s="27" t="s">
        <v>2707</v>
      </c>
      <c r="AJ36" s="27" t="s">
        <v>2708</v>
      </c>
      <c r="AK36" s="27" t="s">
        <v>2709</v>
      </c>
      <c r="AL36" s="27" t="s">
        <v>109</v>
      </c>
      <c r="AM36" s="27" t="s">
        <v>252</v>
      </c>
      <c r="AN36" s="27" t="s">
        <v>2710</v>
      </c>
      <c r="AO36" s="27" t="s">
        <v>2711</v>
      </c>
      <c r="AP36" s="27" t="s">
        <v>109</v>
      </c>
      <c r="AQ36" s="27" t="s">
        <v>252</v>
      </c>
      <c r="AR36" s="27" t="s">
        <v>2712</v>
      </c>
      <c r="AS36" s="27" t="s">
        <v>2713</v>
      </c>
      <c r="AT36" s="27" t="s">
        <v>109</v>
      </c>
      <c r="AU36" s="27" t="s">
        <v>252</v>
      </c>
      <c r="AV36" s="27" t="s">
        <v>2714</v>
      </c>
      <c r="AW36" s="27" t="s">
        <v>2715</v>
      </c>
      <c r="AX36" s="27" t="s">
        <v>2716</v>
      </c>
      <c r="AY36" s="27" t="s">
        <v>115</v>
      </c>
    </row>
    <row r="37" spans="1:51" x14ac:dyDescent="0.2">
      <c r="A37" s="24" t="s">
        <v>2717</v>
      </c>
      <c r="B37" s="24" t="s">
        <v>2718</v>
      </c>
      <c r="C37" s="24" t="s">
        <v>2719</v>
      </c>
      <c r="D37" s="24" t="s">
        <v>87</v>
      </c>
      <c r="E37" s="25">
        <v>147662784</v>
      </c>
      <c r="F37" s="25">
        <v>114472185</v>
      </c>
      <c r="G37" s="26">
        <v>476</v>
      </c>
      <c r="H37" s="26">
        <v>500</v>
      </c>
      <c r="I37" s="24" t="s">
        <v>219</v>
      </c>
      <c r="J37" s="24" t="s">
        <v>89</v>
      </c>
      <c r="K37" s="24" t="s">
        <v>90</v>
      </c>
      <c r="L37" s="24" t="s">
        <v>91</v>
      </c>
      <c r="M37" s="24" t="s">
        <v>2720</v>
      </c>
      <c r="N37" s="26">
        <v>13</v>
      </c>
      <c r="O37" s="24" t="s">
        <v>2721</v>
      </c>
      <c r="P37" s="24" t="s">
        <v>2722</v>
      </c>
      <c r="Q37" s="24"/>
      <c r="R37" s="24" t="s">
        <v>2723</v>
      </c>
      <c r="S37" s="24" t="s">
        <v>1188</v>
      </c>
      <c r="T37" s="24" t="s">
        <v>26</v>
      </c>
      <c r="U37" s="24" t="s">
        <v>2724</v>
      </c>
      <c r="V37" s="24" t="s">
        <v>252</v>
      </c>
      <c r="W37" s="24" t="s">
        <v>2725</v>
      </c>
      <c r="X37" s="24" t="s">
        <v>100</v>
      </c>
      <c r="Y37" s="24" t="s">
        <v>252</v>
      </c>
      <c r="Z37" s="24" t="s">
        <v>2726</v>
      </c>
      <c r="AA37" s="24" t="s">
        <v>100</v>
      </c>
      <c r="AB37" s="24" t="s">
        <v>252</v>
      </c>
      <c r="AC37" s="24" t="s">
        <v>2727</v>
      </c>
      <c r="AD37" s="24" t="s">
        <v>104</v>
      </c>
      <c r="AE37" s="24"/>
      <c r="AF37" s="24"/>
      <c r="AG37" s="24"/>
      <c r="AH37" s="24" t="s">
        <v>2728</v>
      </c>
      <c r="AI37" s="24" t="s">
        <v>2729</v>
      </c>
      <c r="AJ37" s="24"/>
      <c r="AK37" s="24" t="s">
        <v>2730</v>
      </c>
      <c r="AL37" s="24" t="s">
        <v>133</v>
      </c>
      <c r="AM37" s="24" t="s">
        <v>252</v>
      </c>
      <c r="AN37" s="24" t="s">
        <v>2731</v>
      </c>
      <c r="AO37" s="24" t="s">
        <v>2732</v>
      </c>
      <c r="AP37" s="24" t="s">
        <v>133</v>
      </c>
      <c r="AQ37" s="24" t="s">
        <v>252</v>
      </c>
      <c r="AR37" s="24" t="s">
        <v>2733</v>
      </c>
      <c r="AS37" s="24"/>
      <c r="AT37" s="24"/>
      <c r="AU37" s="24"/>
      <c r="AV37" s="24"/>
      <c r="AW37" s="24" t="s">
        <v>2734</v>
      </c>
      <c r="AX37" s="24" t="s">
        <v>2735</v>
      </c>
      <c r="AY37" s="24" t="s">
        <v>290</v>
      </c>
    </row>
    <row r="38" spans="1:51" x14ac:dyDescent="0.2">
      <c r="A38" s="27" t="s">
        <v>2736</v>
      </c>
      <c r="B38" s="27" t="s">
        <v>2737</v>
      </c>
      <c r="C38" s="27"/>
      <c r="D38" s="27" t="s">
        <v>87</v>
      </c>
      <c r="E38" s="28">
        <v>137795492</v>
      </c>
      <c r="F38" s="28">
        <v>9127255</v>
      </c>
      <c r="G38" s="29"/>
      <c r="H38" s="29">
        <v>257</v>
      </c>
      <c r="I38" s="27" t="s">
        <v>270</v>
      </c>
      <c r="J38" s="27" t="s">
        <v>89</v>
      </c>
      <c r="K38" s="27" t="s">
        <v>407</v>
      </c>
      <c r="L38" s="27" t="s">
        <v>408</v>
      </c>
      <c r="M38" s="27" t="s">
        <v>2278</v>
      </c>
      <c r="N38" s="29">
        <v>0</v>
      </c>
      <c r="O38" s="27" t="s">
        <v>2738</v>
      </c>
      <c r="P38" s="27" t="s">
        <v>1384</v>
      </c>
      <c r="Q38" s="27" t="s">
        <v>2739</v>
      </c>
      <c r="R38" s="27" t="s">
        <v>2740</v>
      </c>
      <c r="S38" s="27" t="s">
        <v>2741</v>
      </c>
      <c r="T38" s="27" t="s">
        <v>27</v>
      </c>
      <c r="U38" s="27" t="s">
        <v>2742</v>
      </c>
      <c r="V38" s="27" t="s">
        <v>473</v>
      </c>
      <c r="W38" s="27" t="s">
        <v>2743</v>
      </c>
      <c r="X38" s="27" t="s">
        <v>100</v>
      </c>
      <c r="Y38" s="27" t="s">
        <v>473</v>
      </c>
      <c r="Z38" s="27" t="s">
        <v>2744</v>
      </c>
      <c r="AA38" s="27" t="s">
        <v>100</v>
      </c>
      <c r="AB38" s="27" t="s">
        <v>473</v>
      </c>
      <c r="AC38" s="27" t="s">
        <v>2745</v>
      </c>
      <c r="AD38" s="27" t="s">
        <v>100</v>
      </c>
      <c r="AE38" s="27" t="s">
        <v>473</v>
      </c>
      <c r="AF38" s="27" t="s">
        <v>2746</v>
      </c>
      <c r="AG38" s="27" t="s">
        <v>104</v>
      </c>
      <c r="AH38" s="27" t="s">
        <v>2747</v>
      </c>
      <c r="AI38" s="27" t="s">
        <v>2748</v>
      </c>
      <c r="AJ38" s="27" t="s">
        <v>2749</v>
      </c>
      <c r="AK38" s="27" t="s">
        <v>2750</v>
      </c>
      <c r="AL38" s="27" t="s">
        <v>163</v>
      </c>
      <c r="AM38" s="27"/>
      <c r="AN38" s="27"/>
      <c r="AO38" s="27" t="s">
        <v>2751</v>
      </c>
      <c r="AP38" s="27" t="s">
        <v>136</v>
      </c>
      <c r="AQ38" s="27" t="s">
        <v>439</v>
      </c>
      <c r="AR38" s="27" t="s">
        <v>2752</v>
      </c>
      <c r="AS38" s="27"/>
      <c r="AT38" s="27"/>
      <c r="AU38" s="27"/>
      <c r="AV38" s="27"/>
      <c r="AW38" s="27" t="s">
        <v>2753</v>
      </c>
      <c r="AX38" s="27" t="s">
        <v>2754</v>
      </c>
      <c r="AY38" s="27" t="s">
        <v>115</v>
      </c>
    </row>
    <row r="39" spans="1:51" x14ac:dyDescent="0.2">
      <c r="A39" s="24" t="s">
        <v>2755</v>
      </c>
      <c r="B39" s="24" t="s">
        <v>2756</v>
      </c>
      <c r="C39" s="24" t="s">
        <v>2757</v>
      </c>
      <c r="D39" s="24" t="s">
        <v>431</v>
      </c>
      <c r="E39" s="25">
        <v>135430871</v>
      </c>
      <c r="F39" s="25">
        <v>2000000</v>
      </c>
      <c r="G39" s="26">
        <v>60</v>
      </c>
      <c r="H39" s="26">
        <v>901</v>
      </c>
      <c r="I39" s="24" t="s">
        <v>88</v>
      </c>
      <c r="J39" s="24" t="s">
        <v>89</v>
      </c>
      <c r="K39" s="24" t="s">
        <v>90</v>
      </c>
      <c r="L39" s="24" t="s">
        <v>91</v>
      </c>
      <c r="M39" s="24" t="s">
        <v>2758</v>
      </c>
      <c r="N39" s="26">
        <v>8</v>
      </c>
      <c r="O39" s="24" t="s">
        <v>2759</v>
      </c>
      <c r="P39" s="24" t="s">
        <v>2760</v>
      </c>
      <c r="Q39" s="24"/>
      <c r="R39" s="24" t="s">
        <v>2761</v>
      </c>
      <c r="S39" s="24" t="s">
        <v>2090</v>
      </c>
      <c r="T39" s="24" t="s">
        <v>28</v>
      </c>
      <c r="U39" s="24" t="s">
        <v>2762</v>
      </c>
      <c r="V39" s="24" t="s">
        <v>644</v>
      </c>
      <c r="W39" s="24" t="s">
        <v>2763</v>
      </c>
      <c r="X39" s="24" t="s">
        <v>100</v>
      </c>
      <c r="Y39" s="24" t="s">
        <v>644</v>
      </c>
      <c r="Z39" s="24" t="s">
        <v>2764</v>
      </c>
      <c r="AA39" s="24" t="s">
        <v>100</v>
      </c>
      <c r="AB39" s="24" t="s">
        <v>644</v>
      </c>
      <c r="AC39" s="24" t="s">
        <v>2765</v>
      </c>
      <c r="AD39" s="24" t="s">
        <v>100</v>
      </c>
      <c r="AE39" s="24" t="s">
        <v>644</v>
      </c>
      <c r="AF39" s="24" t="s">
        <v>2766</v>
      </c>
      <c r="AG39" s="24" t="s">
        <v>104</v>
      </c>
      <c r="AH39" s="24" t="s">
        <v>2767</v>
      </c>
      <c r="AI39" s="24" t="s">
        <v>2768</v>
      </c>
      <c r="AJ39" s="24"/>
      <c r="AK39" s="24" t="s">
        <v>2769</v>
      </c>
      <c r="AL39" s="24" t="s">
        <v>133</v>
      </c>
      <c r="AM39" s="24" t="s">
        <v>644</v>
      </c>
      <c r="AN39" s="24" t="s">
        <v>2770</v>
      </c>
      <c r="AO39" s="24" t="s">
        <v>2771</v>
      </c>
      <c r="AP39" s="24" t="s">
        <v>133</v>
      </c>
      <c r="AQ39" s="24" t="s">
        <v>644</v>
      </c>
      <c r="AR39" s="24" t="s">
        <v>2772</v>
      </c>
      <c r="AS39" s="24"/>
      <c r="AT39" s="24"/>
      <c r="AU39" s="24"/>
      <c r="AV39" s="24"/>
      <c r="AW39" s="24" t="s">
        <v>2773</v>
      </c>
      <c r="AX39" s="24" t="s">
        <v>2774</v>
      </c>
      <c r="AY39" s="24" t="s">
        <v>115</v>
      </c>
    </row>
    <row r="40" spans="1:51" x14ac:dyDescent="0.2">
      <c r="A40" s="27" t="s">
        <v>2775</v>
      </c>
      <c r="B40" s="27" t="s">
        <v>2776</v>
      </c>
      <c r="C40" s="27"/>
      <c r="D40" s="27" t="s">
        <v>87</v>
      </c>
      <c r="E40" s="28">
        <v>131750883</v>
      </c>
      <c r="F40" s="28">
        <v>24494762</v>
      </c>
      <c r="G40" s="29">
        <v>31</v>
      </c>
      <c r="H40" s="29">
        <v>733</v>
      </c>
      <c r="I40" s="27" t="s">
        <v>88</v>
      </c>
      <c r="J40" s="27" t="s">
        <v>89</v>
      </c>
      <c r="K40" s="27" t="s">
        <v>90</v>
      </c>
      <c r="L40" s="27" t="s">
        <v>91</v>
      </c>
      <c r="M40" s="27" t="s">
        <v>2777</v>
      </c>
      <c r="N40" s="29">
        <v>11</v>
      </c>
      <c r="O40" s="27" t="s">
        <v>2778</v>
      </c>
      <c r="P40" s="27" t="s">
        <v>1885</v>
      </c>
      <c r="Q40" s="27" t="s">
        <v>2779</v>
      </c>
      <c r="R40" s="27" t="s">
        <v>2778</v>
      </c>
      <c r="S40" s="27" t="s">
        <v>2780</v>
      </c>
      <c r="T40" s="27" t="s">
        <v>29</v>
      </c>
      <c r="U40" s="27" t="s">
        <v>2781</v>
      </c>
      <c r="V40" s="27" t="s">
        <v>233</v>
      </c>
      <c r="W40" s="27" t="s">
        <v>2782</v>
      </c>
      <c r="X40" s="27" t="s">
        <v>100</v>
      </c>
      <c r="Y40" s="27" t="s">
        <v>280</v>
      </c>
      <c r="Z40" s="27" t="s">
        <v>2783</v>
      </c>
      <c r="AA40" s="27" t="s">
        <v>100</v>
      </c>
      <c r="AB40" s="27" t="s">
        <v>233</v>
      </c>
      <c r="AC40" s="27" t="s">
        <v>2784</v>
      </c>
      <c r="AD40" s="27" t="s">
        <v>100</v>
      </c>
      <c r="AE40" s="27" t="s">
        <v>233</v>
      </c>
      <c r="AF40" s="27" t="s">
        <v>2785</v>
      </c>
      <c r="AG40" s="27" t="s">
        <v>104</v>
      </c>
      <c r="AH40" s="27" t="s">
        <v>2786</v>
      </c>
      <c r="AI40" s="27" t="s">
        <v>2787</v>
      </c>
      <c r="AJ40" s="27" t="s">
        <v>2788</v>
      </c>
      <c r="AK40" s="27" t="s">
        <v>2789</v>
      </c>
      <c r="AL40" s="27" t="s">
        <v>133</v>
      </c>
      <c r="AM40" s="27" t="s">
        <v>233</v>
      </c>
      <c r="AN40" s="27" t="s">
        <v>2790</v>
      </c>
      <c r="AO40" s="27" t="s">
        <v>2791</v>
      </c>
      <c r="AP40" s="27" t="s">
        <v>133</v>
      </c>
      <c r="AQ40" s="27" t="s">
        <v>233</v>
      </c>
      <c r="AR40" s="27" t="s">
        <v>2792</v>
      </c>
      <c r="AS40" s="27" t="s">
        <v>2793</v>
      </c>
      <c r="AT40" s="27" t="s">
        <v>163</v>
      </c>
      <c r="AU40" s="27"/>
      <c r="AV40" s="27"/>
      <c r="AW40" s="27" t="s">
        <v>2794</v>
      </c>
      <c r="AX40" s="27" t="s">
        <v>2795</v>
      </c>
      <c r="AY40" s="27" t="s">
        <v>115</v>
      </c>
    </row>
    <row r="41" spans="1:51" x14ac:dyDescent="0.2">
      <c r="A41" s="24" t="s">
        <v>2796</v>
      </c>
      <c r="B41" s="24" t="s">
        <v>2797</v>
      </c>
      <c r="C41" s="24"/>
      <c r="D41" s="24" t="s">
        <v>87</v>
      </c>
      <c r="E41" s="25">
        <v>125806988</v>
      </c>
      <c r="F41" s="25">
        <v>12855000</v>
      </c>
      <c r="G41" s="26">
        <v>415</v>
      </c>
      <c r="H41" s="26">
        <v>662</v>
      </c>
      <c r="I41" s="24" t="s">
        <v>143</v>
      </c>
      <c r="J41" s="24" t="s">
        <v>89</v>
      </c>
      <c r="K41" s="24" t="s">
        <v>90</v>
      </c>
      <c r="L41" s="24" t="s">
        <v>91</v>
      </c>
      <c r="M41" s="24" t="s">
        <v>2798</v>
      </c>
      <c r="N41" s="26">
        <v>18</v>
      </c>
      <c r="O41" s="24" t="s">
        <v>2799</v>
      </c>
      <c r="P41" s="24" t="s">
        <v>2800</v>
      </c>
      <c r="Q41" s="24" t="s">
        <v>2801</v>
      </c>
      <c r="R41" s="24" t="s">
        <v>2802</v>
      </c>
      <c r="S41" s="24" t="s">
        <v>1545</v>
      </c>
      <c r="T41" s="24" t="s">
        <v>26</v>
      </c>
      <c r="U41" s="24" t="s">
        <v>2803</v>
      </c>
      <c r="V41" s="24" t="s">
        <v>252</v>
      </c>
      <c r="W41" s="24" t="s">
        <v>2804</v>
      </c>
      <c r="X41" s="24" t="s">
        <v>100</v>
      </c>
      <c r="Y41" s="24" t="s">
        <v>252</v>
      </c>
      <c r="Z41" s="24" t="s">
        <v>2805</v>
      </c>
      <c r="AA41" s="24" t="s">
        <v>104</v>
      </c>
      <c r="AB41" s="24"/>
      <c r="AC41" s="24"/>
      <c r="AD41" s="24"/>
      <c r="AE41" s="24"/>
      <c r="AF41" s="24"/>
      <c r="AG41" s="24"/>
      <c r="AH41" s="24" t="s">
        <v>2806</v>
      </c>
      <c r="AI41" s="24" t="s">
        <v>2807</v>
      </c>
      <c r="AJ41" s="24" t="s">
        <v>2808</v>
      </c>
      <c r="AK41" s="24" t="s">
        <v>2809</v>
      </c>
      <c r="AL41" s="24" t="s">
        <v>163</v>
      </c>
      <c r="AM41" s="24" t="s">
        <v>252</v>
      </c>
      <c r="AN41" s="24" t="s">
        <v>2810</v>
      </c>
      <c r="AO41" s="24" t="s">
        <v>2811</v>
      </c>
      <c r="AP41" s="24" t="s">
        <v>133</v>
      </c>
      <c r="AQ41" s="24" t="s">
        <v>252</v>
      </c>
      <c r="AR41" s="24" t="s">
        <v>2812</v>
      </c>
      <c r="AS41" s="24" t="s">
        <v>2813</v>
      </c>
      <c r="AT41" s="24" t="s">
        <v>163</v>
      </c>
      <c r="AU41" s="24" t="s">
        <v>252</v>
      </c>
      <c r="AV41" s="24" t="s">
        <v>2814</v>
      </c>
      <c r="AW41" s="24" t="s">
        <v>2815</v>
      </c>
      <c r="AX41" s="24" t="s">
        <v>2816</v>
      </c>
      <c r="AY41" s="24" t="s">
        <v>290</v>
      </c>
    </row>
    <row r="42" spans="1:51" x14ac:dyDescent="0.2">
      <c r="A42" s="27" t="s">
        <v>2817</v>
      </c>
      <c r="B42" s="27" t="s">
        <v>2818</v>
      </c>
      <c r="C42" s="27"/>
      <c r="D42" s="27" t="s">
        <v>87</v>
      </c>
      <c r="E42" s="28">
        <v>122032463</v>
      </c>
      <c r="F42" s="28">
        <v>4800000</v>
      </c>
      <c r="G42" s="29">
        <v>13</v>
      </c>
      <c r="H42" s="29">
        <v>783</v>
      </c>
      <c r="I42" s="27" t="s">
        <v>88</v>
      </c>
      <c r="J42" s="27" t="s">
        <v>89</v>
      </c>
      <c r="K42" s="27" t="s">
        <v>90</v>
      </c>
      <c r="L42" s="27" t="s">
        <v>91</v>
      </c>
      <c r="M42" s="27" t="s">
        <v>2819</v>
      </c>
      <c r="N42" s="29">
        <v>17</v>
      </c>
      <c r="O42" s="27" t="s">
        <v>2820</v>
      </c>
      <c r="P42" s="27" t="s">
        <v>2722</v>
      </c>
      <c r="Q42" s="27" t="s">
        <v>2821</v>
      </c>
      <c r="R42" s="27" t="s">
        <v>2820</v>
      </c>
      <c r="S42" s="27" t="s">
        <v>342</v>
      </c>
      <c r="T42" s="27" t="s">
        <v>31</v>
      </c>
      <c r="U42" s="27" t="s">
        <v>2822</v>
      </c>
      <c r="V42" s="27" t="s">
        <v>98</v>
      </c>
      <c r="W42" s="27" t="s">
        <v>2823</v>
      </c>
      <c r="X42" s="27" t="s">
        <v>100</v>
      </c>
      <c r="Y42" s="27" t="s">
        <v>98</v>
      </c>
      <c r="Z42" s="27" t="s">
        <v>2824</v>
      </c>
      <c r="AA42" s="27" t="s">
        <v>100</v>
      </c>
      <c r="AB42" s="27" t="s">
        <v>98</v>
      </c>
      <c r="AC42" s="27" t="s">
        <v>2825</v>
      </c>
      <c r="AD42" s="27" t="s">
        <v>100</v>
      </c>
      <c r="AE42" s="27" t="s">
        <v>98</v>
      </c>
      <c r="AF42" s="27" t="s">
        <v>2826</v>
      </c>
      <c r="AG42" s="27" t="s">
        <v>104</v>
      </c>
      <c r="AH42" s="27"/>
      <c r="AI42" s="27"/>
      <c r="AJ42" s="27"/>
      <c r="AK42" s="27" t="s">
        <v>2827</v>
      </c>
      <c r="AL42" s="27" t="s">
        <v>185</v>
      </c>
      <c r="AM42" s="27" t="s">
        <v>98</v>
      </c>
      <c r="AN42" s="27" t="s">
        <v>2828</v>
      </c>
      <c r="AO42" s="27" t="s">
        <v>2829</v>
      </c>
      <c r="AP42" s="27" t="s">
        <v>109</v>
      </c>
      <c r="AQ42" s="27" t="s">
        <v>98</v>
      </c>
      <c r="AR42" s="27" t="s">
        <v>2830</v>
      </c>
      <c r="AS42" s="27"/>
      <c r="AT42" s="27"/>
      <c r="AU42" s="27"/>
      <c r="AV42" s="27"/>
      <c r="AW42" s="27" t="s">
        <v>2831</v>
      </c>
      <c r="AX42" s="27" t="s">
        <v>2832</v>
      </c>
      <c r="AY42" s="27" t="s">
        <v>115</v>
      </c>
    </row>
    <row r="43" spans="1:51" x14ac:dyDescent="0.2">
      <c r="A43" s="24" t="s">
        <v>2833</v>
      </c>
      <c r="B43" s="24" t="s">
        <v>2834</v>
      </c>
      <c r="C43" s="24"/>
      <c r="D43" s="24" t="s">
        <v>431</v>
      </c>
      <c r="E43" s="25">
        <v>116514050</v>
      </c>
      <c r="F43" s="25">
        <v>34415160</v>
      </c>
      <c r="G43" s="26">
        <v>111</v>
      </c>
      <c r="H43" s="26">
        <v>682</v>
      </c>
      <c r="I43" s="24" t="s">
        <v>143</v>
      </c>
      <c r="J43" s="24" t="s">
        <v>89</v>
      </c>
      <c r="K43" s="24" t="s">
        <v>336</v>
      </c>
      <c r="L43" s="24" t="s">
        <v>337</v>
      </c>
      <c r="M43" s="24" t="s">
        <v>2835</v>
      </c>
      <c r="N43" s="26">
        <v>2</v>
      </c>
      <c r="O43" s="24" t="s">
        <v>2836</v>
      </c>
      <c r="P43" s="24" t="s">
        <v>2837</v>
      </c>
      <c r="Q43" s="24"/>
      <c r="R43" s="24" t="s">
        <v>2838</v>
      </c>
      <c r="S43" s="24" t="s">
        <v>342</v>
      </c>
      <c r="T43" s="24" t="s">
        <v>31</v>
      </c>
      <c r="U43" s="24" t="s">
        <v>2839</v>
      </c>
      <c r="V43" s="24" t="s">
        <v>98</v>
      </c>
      <c r="W43" s="24" t="s">
        <v>2840</v>
      </c>
      <c r="X43" s="24" t="s">
        <v>100</v>
      </c>
      <c r="Y43" s="24" t="s">
        <v>98</v>
      </c>
      <c r="Z43" s="24" t="s">
        <v>2841</v>
      </c>
      <c r="AA43" s="24" t="s">
        <v>100</v>
      </c>
      <c r="AB43" s="24" t="s">
        <v>98</v>
      </c>
      <c r="AC43" s="24" t="s">
        <v>2842</v>
      </c>
      <c r="AD43" s="24" t="s">
        <v>100</v>
      </c>
      <c r="AE43" s="24" t="s">
        <v>98</v>
      </c>
      <c r="AF43" s="24" t="s">
        <v>2843</v>
      </c>
      <c r="AG43" s="24" t="s">
        <v>104</v>
      </c>
      <c r="AH43" s="24" t="s">
        <v>2844</v>
      </c>
      <c r="AI43" s="24" t="s">
        <v>2845</v>
      </c>
      <c r="AJ43" s="24" t="s">
        <v>2846</v>
      </c>
      <c r="AK43" s="24" t="s">
        <v>2847</v>
      </c>
      <c r="AL43" s="24" t="s">
        <v>133</v>
      </c>
      <c r="AM43" s="24" t="s">
        <v>98</v>
      </c>
      <c r="AN43" s="24" t="s">
        <v>2848</v>
      </c>
      <c r="AO43" s="24" t="s">
        <v>2849</v>
      </c>
      <c r="AP43" s="24" t="s">
        <v>163</v>
      </c>
      <c r="AQ43" s="24" t="s">
        <v>98</v>
      </c>
      <c r="AR43" s="24" t="s">
        <v>2850</v>
      </c>
      <c r="AS43" s="24" t="s">
        <v>2851</v>
      </c>
      <c r="AT43" s="24" t="s">
        <v>133</v>
      </c>
      <c r="AU43" s="24"/>
      <c r="AV43" s="24"/>
      <c r="AW43" s="24"/>
      <c r="AX43" s="24" t="s">
        <v>2852</v>
      </c>
      <c r="AY43" s="24" t="s">
        <v>115</v>
      </c>
    </row>
    <row r="44" spans="1:51" x14ac:dyDescent="0.2">
      <c r="A44" s="27" t="s">
        <v>2853</v>
      </c>
      <c r="B44" s="27" t="s">
        <v>2854</v>
      </c>
      <c r="C44" s="27" t="s">
        <v>2855</v>
      </c>
      <c r="D44" s="27" t="s">
        <v>87</v>
      </c>
      <c r="E44" s="28">
        <v>115077399</v>
      </c>
      <c r="F44" s="28">
        <v>2500000</v>
      </c>
      <c r="G44" s="29">
        <v>79</v>
      </c>
      <c r="H44" s="29">
        <v>898</v>
      </c>
      <c r="I44" s="27" t="s">
        <v>88</v>
      </c>
      <c r="J44" s="27" t="s">
        <v>89</v>
      </c>
      <c r="K44" s="27" t="s">
        <v>90</v>
      </c>
      <c r="L44" s="27" t="s">
        <v>91</v>
      </c>
      <c r="M44" s="27" t="s">
        <v>2856</v>
      </c>
      <c r="N44" s="29">
        <v>10</v>
      </c>
      <c r="O44" s="27" t="s">
        <v>2857</v>
      </c>
      <c r="P44" s="27" t="s">
        <v>2858</v>
      </c>
      <c r="Q44" s="27"/>
      <c r="R44" s="27" t="s">
        <v>2859</v>
      </c>
      <c r="S44" s="27" t="s">
        <v>2860</v>
      </c>
      <c r="T44" s="27" t="s">
        <v>31</v>
      </c>
      <c r="U44" s="27" t="s">
        <v>2861</v>
      </c>
      <c r="V44" s="27" t="s">
        <v>1063</v>
      </c>
      <c r="W44" s="27" t="s">
        <v>2862</v>
      </c>
      <c r="X44" s="27" t="s">
        <v>100</v>
      </c>
      <c r="Y44" s="27" t="s">
        <v>98</v>
      </c>
      <c r="Z44" s="27" t="s">
        <v>2863</v>
      </c>
      <c r="AA44" s="27" t="s">
        <v>100</v>
      </c>
      <c r="AB44" s="27" t="s">
        <v>98</v>
      </c>
      <c r="AC44" s="27" t="s">
        <v>2864</v>
      </c>
      <c r="AD44" s="27" t="s">
        <v>100</v>
      </c>
      <c r="AE44" s="27" t="s">
        <v>1971</v>
      </c>
      <c r="AF44" s="27" t="s">
        <v>2865</v>
      </c>
      <c r="AG44" s="27" t="s">
        <v>104</v>
      </c>
      <c r="AH44" s="27" t="s">
        <v>2866</v>
      </c>
      <c r="AI44" s="27" t="s">
        <v>2867</v>
      </c>
      <c r="AJ44" s="27"/>
      <c r="AK44" s="27" t="s">
        <v>2868</v>
      </c>
      <c r="AL44" s="27" t="s">
        <v>133</v>
      </c>
      <c r="AM44" s="27" t="s">
        <v>98</v>
      </c>
      <c r="AN44" s="27" t="s">
        <v>2869</v>
      </c>
      <c r="AO44" s="27" t="s">
        <v>2870</v>
      </c>
      <c r="AP44" s="27" t="s">
        <v>133</v>
      </c>
      <c r="AQ44" s="27" t="s">
        <v>98</v>
      </c>
      <c r="AR44" s="27" t="s">
        <v>2871</v>
      </c>
      <c r="AS44" s="27" t="s">
        <v>2872</v>
      </c>
      <c r="AT44" s="27" t="s">
        <v>163</v>
      </c>
      <c r="AU44" s="27"/>
      <c r="AV44" s="27"/>
      <c r="AW44" s="27" t="s">
        <v>2873</v>
      </c>
      <c r="AX44" s="27" t="s">
        <v>2874</v>
      </c>
      <c r="AY44" s="27" t="s">
        <v>115</v>
      </c>
    </row>
    <row r="45" spans="1:51" x14ac:dyDescent="0.2">
      <c r="A45" s="24" t="s">
        <v>2875</v>
      </c>
      <c r="B45" s="24" t="s">
        <v>2876</v>
      </c>
      <c r="C45" s="24"/>
      <c r="D45" s="24" t="s">
        <v>431</v>
      </c>
      <c r="E45" s="25">
        <v>113488796</v>
      </c>
      <c r="F45" s="25">
        <v>51120215</v>
      </c>
      <c r="G45" s="26">
        <v>1</v>
      </c>
      <c r="H45" s="26">
        <v>788</v>
      </c>
      <c r="I45" s="24" t="s">
        <v>88</v>
      </c>
      <c r="J45" s="24" t="s">
        <v>89</v>
      </c>
      <c r="K45" s="24" t="s">
        <v>294</v>
      </c>
      <c r="L45" s="24" t="s">
        <v>295</v>
      </c>
      <c r="M45" s="24" t="s">
        <v>2877</v>
      </c>
      <c r="N45" s="26">
        <v>1</v>
      </c>
      <c r="O45" s="24" t="s">
        <v>2878</v>
      </c>
      <c r="P45" s="24" t="s">
        <v>549</v>
      </c>
      <c r="Q45" s="24" t="s">
        <v>2879</v>
      </c>
      <c r="R45" s="24" t="s">
        <v>2880</v>
      </c>
      <c r="S45" s="24" t="s">
        <v>2881</v>
      </c>
      <c r="T45" s="24" t="s">
        <v>31</v>
      </c>
      <c r="U45" s="24" t="s">
        <v>2882</v>
      </c>
      <c r="V45" s="24" t="s">
        <v>397</v>
      </c>
      <c r="W45" s="24" t="s">
        <v>2883</v>
      </c>
      <c r="X45" s="24" t="s">
        <v>100</v>
      </c>
      <c r="Y45" s="24" t="s">
        <v>416</v>
      </c>
      <c r="Z45" s="24" t="s">
        <v>2884</v>
      </c>
      <c r="AA45" s="24" t="s">
        <v>104</v>
      </c>
      <c r="AB45" s="24"/>
      <c r="AC45" s="24"/>
      <c r="AD45" s="24"/>
      <c r="AE45" s="24"/>
      <c r="AF45" s="24"/>
      <c r="AG45" s="24"/>
      <c r="AH45" s="24" t="s">
        <v>2885</v>
      </c>
      <c r="AI45" s="24" t="s">
        <v>2886</v>
      </c>
      <c r="AJ45" s="24"/>
      <c r="AK45" s="24" t="s">
        <v>2887</v>
      </c>
      <c r="AL45" s="24" t="s">
        <v>109</v>
      </c>
      <c r="AM45" s="24" t="s">
        <v>416</v>
      </c>
      <c r="AN45" s="24" t="s">
        <v>2888</v>
      </c>
      <c r="AO45" s="24" t="s">
        <v>2889</v>
      </c>
      <c r="AP45" s="24" t="s">
        <v>136</v>
      </c>
      <c r="AQ45" s="24" t="s">
        <v>98</v>
      </c>
      <c r="AR45" s="24" t="s">
        <v>2890</v>
      </c>
      <c r="AS45" s="24" t="s">
        <v>2891</v>
      </c>
      <c r="AT45" s="24" t="s">
        <v>163</v>
      </c>
      <c r="AU45" s="24" t="s">
        <v>416</v>
      </c>
      <c r="AV45" s="24" t="s">
        <v>2892</v>
      </c>
      <c r="AW45" s="24" t="s">
        <v>2893</v>
      </c>
      <c r="AX45" s="24" t="s">
        <v>2894</v>
      </c>
      <c r="AY45" s="24" t="s">
        <v>115</v>
      </c>
    </row>
    <row r="46" spans="1:51" x14ac:dyDescent="0.2">
      <c r="A46" s="27" t="s">
        <v>2895</v>
      </c>
      <c r="B46" s="27" t="s">
        <v>2896</v>
      </c>
      <c r="C46" s="27" t="s">
        <v>2897</v>
      </c>
      <c r="D46" s="27" t="s">
        <v>431</v>
      </c>
      <c r="E46" s="28">
        <v>112772225</v>
      </c>
      <c r="F46" s="28">
        <v>47185000</v>
      </c>
      <c r="G46" s="29">
        <v>109</v>
      </c>
      <c r="H46" s="29">
        <v>700</v>
      </c>
      <c r="I46" s="27" t="s">
        <v>143</v>
      </c>
      <c r="J46" s="27" t="s">
        <v>89</v>
      </c>
      <c r="K46" s="27" t="s">
        <v>90</v>
      </c>
      <c r="L46" s="27" t="s">
        <v>91</v>
      </c>
      <c r="M46" s="27" t="s">
        <v>2898</v>
      </c>
      <c r="N46" s="29">
        <v>2</v>
      </c>
      <c r="O46" s="27" t="s">
        <v>2899</v>
      </c>
      <c r="P46" s="27"/>
      <c r="Q46" s="27" t="s">
        <v>2900</v>
      </c>
      <c r="R46" s="27" t="s">
        <v>1081</v>
      </c>
      <c r="S46" s="27" t="s">
        <v>2901</v>
      </c>
      <c r="T46" s="27" t="s">
        <v>31</v>
      </c>
      <c r="U46" s="27" t="s">
        <v>2902</v>
      </c>
      <c r="V46" s="27" t="s">
        <v>1971</v>
      </c>
      <c r="W46" s="27" t="s">
        <v>2903</v>
      </c>
      <c r="X46" s="27" t="s">
        <v>100</v>
      </c>
      <c r="Y46" s="27" t="s">
        <v>1971</v>
      </c>
      <c r="Z46" s="27" t="s">
        <v>2904</v>
      </c>
      <c r="AA46" s="27" t="s">
        <v>100</v>
      </c>
      <c r="AB46" s="27" t="s">
        <v>1971</v>
      </c>
      <c r="AC46" s="27" t="s">
        <v>2905</v>
      </c>
      <c r="AD46" s="27" t="s">
        <v>100</v>
      </c>
      <c r="AE46" s="27" t="s">
        <v>1971</v>
      </c>
      <c r="AF46" s="27" t="s">
        <v>2906</v>
      </c>
      <c r="AG46" s="27" t="s">
        <v>104</v>
      </c>
      <c r="AH46" s="27" t="s">
        <v>2907</v>
      </c>
      <c r="AI46" s="27" t="s">
        <v>2908</v>
      </c>
      <c r="AJ46" s="27" t="s">
        <v>2909</v>
      </c>
      <c r="AK46" s="27" t="s">
        <v>2910</v>
      </c>
      <c r="AL46" s="27" t="s">
        <v>286</v>
      </c>
      <c r="AM46" s="27" t="s">
        <v>1971</v>
      </c>
      <c r="AN46" s="27" t="s">
        <v>2911</v>
      </c>
      <c r="AO46" s="27" t="s">
        <v>2912</v>
      </c>
      <c r="AP46" s="27" t="s">
        <v>286</v>
      </c>
      <c r="AQ46" s="27" t="s">
        <v>98</v>
      </c>
      <c r="AR46" s="27" t="s">
        <v>2913</v>
      </c>
      <c r="AS46" s="27" t="s">
        <v>2914</v>
      </c>
      <c r="AT46" s="27" t="s">
        <v>163</v>
      </c>
      <c r="AU46" s="27" t="s">
        <v>98</v>
      </c>
      <c r="AV46" s="27" t="s">
        <v>2915</v>
      </c>
      <c r="AW46" s="27"/>
      <c r="AX46" s="27" t="s">
        <v>2916</v>
      </c>
      <c r="AY46" s="27" t="s">
        <v>115</v>
      </c>
    </row>
    <row r="47" spans="1:51" x14ac:dyDescent="0.2">
      <c r="A47" s="24" t="s">
        <v>2917</v>
      </c>
      <c r="B47" s="24" t="s">
        <v>2918</v>
      </c>
      <c r="C47" s="24"/>
      <c r="D47" s="24" t="s">
        <v>431</v>
      </c>
      <c r="E47" s="25">
        <v>110142622</v>
      </c>
      <c r="F47" s="25">
        <v>9020085</v>
      </c>
      <c r="G47" s="26">
        <v>162</v>
      </c>
      <c r="H47" s="26">
        <v>574</v>
      </c>
      <c r="I47" s="24" t="s">
        <v>143</v>
      </c>
      <c r="J47" s="24" t="s">
        <v>89</v>
      </c>
      <c r="K47" s="24" t="s">
        <v>407</v>
      </c>
      <c r="L47" s="24" t="s">
        <v>408</v>
      </c>
      <c r="M47" s="24" t="s">
        <v>2919</v>
      </c>
      <c r="N47" s="26">
        <v>1</v>
      </c>
      <c r="O47" s="24" t="s">
        <v>2920</v>
      </c>
      <c r="P47" s="24" t="s">
        <v>2921</v>
      </c>
      <c r="Q47" s="24"/>
      <c r="R47" s="24" t="s">
        <v>2922</v>
      </c>
      <c r="S47" s="24" t="s">
        <v>2923</v>
      </c>
      <c r="T47" s="24" t="s">
        <v>31</v>
      </c>
      <c r="U47" s="24" t="s">
        <v>2924</v>
      </c>
      <c r="V47" s="24" t="s">
        <v>98</v>
      </c>
      <c r="W47" s="24" t="s">
        <v>2925</v>
      </c>
      <c r="X47" s="24" t="s">
        <v>100</v>
      </c>
      <c r="Y47" s="24" t="s">
        <v>98</v>
      </c>
      <c r="Z47" s="24" t="s">
        <v>2926</v>
      </c>
      <c r="AA47" s="24" t="s">
        <v>100</v>
      </c>
      <c r="AB47" s="24" t="s">
        <v>98</v>
      </c>
      <c r="AC47" s="24" t="s">
        <v>2927</v>
      </c>
      <c r="AD47" s="24" t="s">
        <v>100</v>
      </c>
      <c r="AE47" s="24" t="s">
        <v>98</v>
      </c>
      <c r="AF47" s="24" t="s">
        <v>2928</v>
      </c>
      <c r="AG47" s="24" t="s">
        <v>104</v>
      </c>
      <c r="AH47" s="24" t="s">
        <v>2929</v>
      </c>
      <c r="AI47" s="24" t="s">
        <v>2930</v>
      </c>
      <c r="AJ47" s="24"/>
      <c r="AK47" s="24" t="s">
        <v>2931</v>
      </c>
      <c r="AL47" s="24" t="s">
        <v>286</v>
      </c>
      <c r="AM47" s="24" t="s">
        <v>98</v>
      </c>
      <c r="AN47" s="24" t="s">
        <v>2925</v>
      </c>
      <c r="AO47" s="24"/>
      <c r="AP47" s="24"/>
      <c r="AQ47" s="24"/>
      <c r="AR47" s="24"/>
      <c r="AS47" s="24"/>
      <c r="AT47" s="24"/>
      <c r="AU47" s="24"/>
      <c r="AV47" s="24"/>
      <c r="AW47" s="24" t="s">
        <v>2932</v>
      </c>
      <c r="AX47" s="24" t="s">
        <v>2933</v>
      </c>
      <c r="AY47" s="24" t="s">
        <v>115</v>
      </c>
    </row>
    <row r="48" spans="1:51" x14ac:dyDescent="0.2">
      <c r="A48" s="27" t="s">
        <v>2934</v>
      </c>
      <c r="B48" s="27" t="s">
        <v>2935</v>
      </c>
      <c r="C48" s="27"/>
      <c r="D48" s="27" t="s">
        <v>431</v>
      </c>
      <c r="E48" s="28">
        <v>107948308</v>
      </c>
      <c r="F48" s="28">
        <v>9348499</v>
      </c>
      <c r="G48" s="29">
        <v>124</v>
      </c>
      <c r="H48" s="29">
        <v>925</v>
      </c>
      <c r="I48" s="27" t="s">
        <v>88</v>
      </c>
      <c r="J48" s="27" t="s">
        <v>89</v>
      </c>
      <c r="K48" s="27" t="s">
        <v>2599</v>
      </c>
      <c r="L48" s="27" t="s">
        <v>2600</v>
      </c>
      <c r="M48" s="27" t="s">
        <v>2936</v>
      </c>
      <c r="N48" s="29">
        <v>1</v>
      </c>
      <c r="O48" s="27" t="s">
        <v>2937</v>
      </c>
      <c r="P48" s="27" t="s">
        <v>2938</v>
      </c>
      <c r="Q48" s="27"/>
      <c r="R48" s="27" t="s">
        <v>2939</v>
      </c>
      <c r="S48" s="27" t="s">
        <v>2940</v>
      </c>
      <c r="T48" s="27" t="s">
        <v>31</v>
      </c>
      <c r="U48" s="27" t="s">
        <v>2941</v>
      </c>
      <c r="V48" s="27" t="s">
        <v>397</v>
      </c>
      <c r="W48" s="27" t="s">
        <v>2942</v>
      </c>
      <c r="X48" s="27" t="s">
        <v>100</v>
      </c>
      <c r="Y48" s="27" t="s">
        <v>397</v>
      </c>
      <c r="Z48" s="27" t="s">
        <v>2943</v>
      </c>
      <c r="AA48" s="27" t="s">
        <v>100</v>
      </c>
      <c r="AB48" s="27" t="s">
        <v>397</v>
      </c>
      <c r="AC48" s="27" t="s">
        <v>2944</v>
      </c>
      <c r="AD48" s="27" t="s">
        <v>100</v>
      </c>
      <c r="AE48" s="27" t="s">
        <v>397</v>
      </c>
      <c r="AF48" s="27" t="s">
        <v>2945</v>
      </c>
      <c r="AG48" s="27" t="s">
        <v>104</v>
      </c>
      <c r="AH48" s="27" t="s">
        <v>2946</v>
      </c>
      <c r="AI48" s="27" t="s">
        <v>2947</v>
      </c>
      <c r="AJ48" s="27" t="s">
        <v>2948</v>
      </c>
      <c r="AK48" s="27" t="s">
        <v>2949</v>
      </c>
      <c r="AL48" s="27" t="s">
        <v>133</v>
      </c>
      <c r="AM48" s="27" t="s">
        <v>397</v>
      </c>
      <c r="AN48" s="27" t="s">
        <v>2950</v>
      </c>
      <c r="AO48" s="27" t="s">
        <v>2951</v>
      </c>
      <c r="AP48" s="27" t="s">
        <v>163</v>
      </c>
      <c r="AQ48" s="27" t="s">
        <v>397</v>
      </c>
      <c r="AR48" s="27" t="s">
        <v>2952</v>
      </c>
      <c r="AS48" s="27" t="s">
        <v>2953</v>
      </c>
      <c r="AT48" s="27" t="s">
        <v>163</v>
      </c>
      <c r="AU48" s="27" t="s">
        <v>98</v>
      </c>
      <c r="AV48" s="27" t="s">
        <v>2954</v>
      </c>
      <c r="AW48" s="27" t="s">
        <v>2955</v>
      </c>
      <c r="AX48" s="27" t="s">
        <v>2956</v>
      </c>
      <c r="AY48" s="27" t="s">
        <v>115</v>
      </c>
    </row>
    <row r="49" spans="1:51" x14ac:dyDescent="0.2">
      <c r="A49" s="24" t="s">
        <v>2957</v>
      </c>
      <c r="B49" s="24" t="s">
        <v>2958</v>
      </c>
      <c r="C49" s="24"/>
      <c r="D49" s="24" t="s">
        <v>431</v>
      </c>
      <c r="E49" s="25">
        <v>105779289</v>
      </c>
      <c r="F49" s="25">
        <v>2000000</v>
      </c>
      <c r="G49" s="26">
        <v>236</v>
      </c>
      <c r="H49" s="26">
        <v>638</v>
      </c>
      <c r="I49" s="24" t="s">
        <v>143</v>
      </c>
      <c r="J49" s="24" t="s">
        <v>89</v>
      </c>
      <c r="K49" s="24" t="s">
        <v>90</v>
      </c>
      <c r="L49" s="24" t="s">
        <v>91</v>
      </c>
      <c r="M49" s="24" t="s">
        <v>2959</v>
      </c>
      <c r="N49" s="26">
        <v>8</v>
      </c>
      <c r="O49" s="24" t="s">
        <v>2960</v>
      </c>
      <c r="P49" s="24"/>
      <c r="Q49" s="24" t="s">
        <v>2961</v>
      </c>
      <c r="R49" s="24" t="s">
        <v>2962</v>
      </c>
      <c r="S49" s="24" t="s">
        <v>2659</v>
      </c>
      <c r="T49" s="24" t="s">
        <v>17</v>
      </c>
      <c r="U49" s="24" t="s">
        <v>2963</v>
      </c>
      <c r="V49" s="24" t="s">
        <v>1971</v>
      </c>
      <c r="W49" s="24" t="s">
        <v>2964</v>
      </c>
      <c r="X49" s="24" t="s">
        <v>100</v>
      </c>
      <c r="Y49" s="24" t="s">
        <v>1971</v>
      </c>
      <c r="Z49" s="24" t="s">
        <v>2965</v>
      </c>
      <c r="AA49" s="24" t="s">
        <v>100</v>
      </c>
      <c r="AB49" s="24" t="s">
        <v>1971</v>
      </c>
      <c r="AC49" s="24" t="s">
        <v>2966</v>
      </c>
      <c r="AD49" s="24" t="s">
        <v>100</v>
      </c>
      <c r="AE49" s="24" t="s">
        <v>1971</v>
      </c>
      <c r="AF49" s="24" t="s">
        <v>2967</v>
      </c>
      <c r="AG49" s="24" t="s">
        <v>104</v>
      </c>
      <c r="AH49" s="24" t="s">
        <v>2968</v>
      </c>
      <c r="AI49" s="24"/>
      <c r="AJ49" s="24"/>
      <c r="AK49" s="24" t="s">
        <v>2969</v>
      </c>
      <c r="AL49" s="24" t="s">
        <v>163</v>
      </c>
      <c r="AM49" s="24" t="s">
        <v>1971</v>
      </c>
      <c r="AN49" s="24" t="s">
        <v>2970</v>
      </c>
      <c r="AO49" s="24" t="s">
        <v>2971</v>
      </c>
      <c r="AP49" s="24" t="s">
        <v>133</v>
      </c>
      <c r="AQ49" s="24" t="s">
        <v>1971</v>
      </c>
      <c r="AR49" s="24" t="s">
        <v>2972</v>
      </c>
      <c r="AS49" s="24" t="s">
        <v>2973</v>
      </c>
      <c r="AT49" s="24" t="s">
        <v>133</v>
      </c>
      <c r="AU49" s="24" t="s">
        <v>1971</v>
      </c>
      <c r="AV49" s="24" t="s">
        <v>2974</v>
      </c>
      <c r="AW49" s="24" t="s">
        <v>2975</v>
      </c>
      <c r="AX49" s="24" t="s">
        <v>2976</v>
      </c>
      <c r="AY49" s="24" t="s">
        <v>115</v>
      </c>
    </row>
    <row r="50" spans="1:51" x14ac:dyDescent="0.2">
      <c r="A50" s="27" t="s">
        <v>2977</v>
      </c>
      <c r="B50" s="27" t="s">
        <v>2978</v>
      </c>
      <c r="C50" s="27"/>
      <c r="D50" s="27" t="s">
        <v>87</v>
      </c>
      <c r="E50" s="28">
        <v>102749983</v>
      </c>
      <c r="F50" s="28">
        <v>4288502</v>
      </c>
      <c r="G50" s="29">
        <v>383</v>
      </c>
      <c r="H50" s="29">
        <v>743</v>
      </c>
      <c r="I50" s="27" t="s">
        <v>88</v>
      </c>
      <c r="J50" s="27" t="s">
        <v>89</v>
      </c>
      <c r="K50" s="27" t="s">
        <v>90</v>
      </c>
      <c r="L50" s="27" t="s">
        <v>91</v>
      </c>
      <c r="M50" s="27" t="s">
        <v>2979</v>
      </c>
      <c r="N50" s="29">
        <v>10</v>
      </c>
      <c r="O50" s="27" t="s">
        <v>2980</v>
      </c>
      <c r="P50" s="27" t="s">
        <v>2981</v>
      </c>
      <c r="Q50" s="27"/>
      <c r="R50" s="27" t="s">
        <v>2982</v>
      </c>
      <c r="S50" s="27" t="s">
        <v>621</v>
      </c>
      <c r="T50" s="27" t="s">
        <v>29</v>
      </c>
      <c r="U50" s="27" t="s">
        <v>2983</v>
      </c>
      <c r="V50" s="27" t="s">
        <v>394</v>
      </c>
      <c r="W50" s="27" t="s">
        <v>2984</v>
      </c>
      <c r="X50" s="27" t="s">
        <v>100</v>
      </c>
      <c r="Y50" s="27" t="s">
        <v>233</v>
      </c>
      <c r="Z50" s="27" t="s">
        <v>2985</v>
      </c>
      <c r="AA50" s="27" t="s">
        <v>104</v>
      </c>
      <c r="AB50" s="27"/>
      <c r="AC50" s="27"/>
      <c r="AD50" s="27"/>
      <c r="AE50" s="27"/>
      <c r="AF50" s="27"/>
      <c r="AG50" s="27"/>
      <c r="AH50" s="27" t="s">
        <v>2986</v>
      </c>
      <c r="AI50" s="27" t="s">
        <v>2987</v>
      </c>
      <c r="AJ50" s="27" t="s">
        <v>2988</v>
      </c>
      <c r="AK50" s="27" t="s">
        <v>2989</v>
      </c>
      <c r="AL50" s="27" t="s">
        <v>163</v>
      </c>
      <c r="AM50" s="27" t="s">
        <v>233</v>
      </c>
      <c r="AN50" s="27" t="s">
        <v>2990</v>
      </c>
      <c r="AO50" s="27" t="s">
        <v>2991</v>
      </c>
      <c r="AP50" s="27" t="s">
        <v>136</v>
      </c>
      <c r="AQ50" s="27"/>
      <c r="AR50" s="27"/>
      <c r="AS50" s="27" t="s">
        <v>2992</v>
      </c>
      <c r="AT50" s="27" t="s">
        <v>136</v>
      </c>
      <c r="AU50" s="27" t="s">
        <v>233</v>
      </c>
      <c r="AV50" s="27" t="s">
        <v>2993</v>
      </c>
      <c r="AW50" s="27" t="s">
        <v>2994</v>
      </c>
      <c r="AX50" s="27" t="s">
        <v>2995</v>
      </c>
      <c r="AY50" s="27" t="s">
        <v>115</v>
      </c>
    </row>
    <row r="51" spans="1:51" x14ac:dyDescent="0.2">
      <c r="A51" s="24" t="s">
        <v>2996</v>
      </c>
      <c r="B51" s="24" t="s">
        <v>2997</v>
      </c>
      <c r="C51" s="24"/>
      <c r="D51" s="24" t="s">
        <v>431</v>
      </c>
      <c r="E51" s="25">
        <v>101001581</v>
      </c>
      <c r="F51" s="25">
        <v>8000000</v>
      </c>
      <c r="G51" s="26">
        <v>265</v>
      </c>
      <c r="H51" s="26">
        <v>936</v>
      </c>
      <c r="I51" s="24" t="s">
        <v>88</v>
      </c>
      <c r="J51" s="24" t="s">
        <v>89</v>
      </c>
      <c r="K51" s="24" t="s">
        <v>90</v>
      </c>
      <c r="L51" s="24" t="s">
        <v>91</v>
      </c>
      <c r="M51" s="24" t="s">
        <v>2998</v>
      </c>
      <c r="N51" s="26">
        <v>3</v>
      </c>
      <c r="O51" s="24" t="s">
        <v>2999</v>
      </c>
      <c r="P51" s="24" t="s">
        <v>3000</v>
      </c>
      <c r="Q51" s="24"/>
      <c r="R51" s="24" t="s">
        <v>3001</v>
      </c>
      <c r="S51" s="24" t="s">
        <v>342</v>
      </c>
      <c r="T51" s="24" t="s">
        <v>31</v>
      </c>
      <c r="U51" s="24" t="s">
        <v>3002</v>
      </c>
      <c r="V51" s="24" t="s">
        <v>98</v>
      </c>
      <c r="W51" s="24" t="s">
        <v>3003</v>
      </c>
      <c r="X51" s="24" t="s">
        <v>100</v>
      </c>
      <c r="Y51" s="24" t="s">
        <v>98</v>
      </c>
      <c r="Z51" s="24" t="s">
        <v>3004</v>
      </c>
      <c r="AA51" s="24" t="s">
        <v>100</v>
      </c>
      <c r="AB51" s="24" t="s">
        <v>98</v>
      </c>
      <c r="AC51" s="24" t="s">
        <v>3005</v>
      </c>
      <c r="AD51" s="24" t="s">
        <v>100</v>
      </c>
      <c r="AE51" s="24" t="s">
        <v>98</v>
      </c>
      <c r="AF51" s="24" t="s">
        <v>3006</v>
      </c>
      <c r="AG51" s="24" t="s">
        <v>104</v>
      </c>
      <c r="AH51" s="24" t="s">
        <v>3007</v>
      </c>
      <c r="AI51" s="24" t="s">
        <v>3008</v>
      </c>
      <c r="AJ51" s="24" t="s">
        <v>3009</v>
      </c>
      <c r="AK51" s="24" t="s">
        <v>3010</v>
      </c>
      <c r="AL51" s="24" t="s">
        <v>133</v>
      </c>
      <c r="AM51" s="24" t="s">
        <v>98</v>
      </c>
      <c r="AN51" s="24" t="s">
        <v>3011</v>
      </c>
      <c r="AO51" s="24" t="s">
        <v>3012</v>
      </c>
      <c r="AP51" s="24" t="s">
        <v>133</v>
      </c>
      <c r="AQ51" s="24"/>
      <c r="AR51" s="24"/>
      <c r="AS51" s="24"/>
      <c r="AT51" s="24"/>
      <c r="AU51" s="24"/>
      <c r="AV51" s="24"/>
      <c r="AW51" s="24" t="s">
        <v>3013</v>
      </c>
      <c r="AX51" s="24" t="s">
        <v>3014</v>
      </c>
      <c r="AY51" s="24" t="s">
        <v>115</v>
      </c>
    </row>
  </sheetData>
  <autoFilter ref="A4:AY51" xr:uid="{00000000-0009-0000-0000-000003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50"/>
  <sheetViews>
    <sheetView tabSelected="1" zoomScaleNormal="100" workbookViewId="0">
      <pane xSplit="3" ySplit="4" topLeftCell="D7" activePane="bottomRight" state="frozen"/>
      <selection pane="topRight" activeCell="D1" sqref="D1"/>
      <selection pane="bottomLeft" activeCell="A5" sqref="A5"/>
      <selection pane="bottomRight" activeCell="D26" sqref="D26"/>
    </sheetView>
  </sheetViews>
  <sheetFormatPr baseColWidth="10" defaultColWidth="8.6640625" defaultRowHeight="15" x14ac:dyDescent="0.2"/>
  <cols>
    <col min="1" max="1" width="20" customWidth="1"/>
    <col min="2" max="2" width="42" customWidth="1"/>
    <col min="3" max="3" width="25" customWidth="1"/>
    <col min="4" max="4" width="10" customWidth="1"/>
    <col min="5" max="5" width="22" customWidth="1"/>
    <col min="6" max="6" width="20" customWidth="1"/>
    <col min="7" max="7" width="14" customWidth="1"/>
    <col min="8" max="8" width="8" customWidth="1"/>
    <col min="9" max="9" width="20" customWidth="1"/>
    <col min="10" max="10" width="16" customWidth="1"/>
    <col min="11" max="11" width="10" customWidth="1"/>
    <col min="12" max="12" width="45" customWidth="1"/>
    <col min="13" max="13" width="14" customWidth="1"/>
    <col min="14" max="14" width="10" customWidth="1"/>
    <col min="15" max="15" width="30" customWidth="1"/>
    <col min="16" max="16" width="8" customWidth="1"/>
    <col min="17" max="17" width="22" customWidth="1"/>
    <col min="18" max="18" width="20" customWidth="1"/>
    <col min="19" max="19" width="18" customWidth="1"/>
    <col min="20" max="20" width="6" customWidth="1"/>
    <col min="21" max="21" width="12" customWidth="1"/>
    <col min="22" max="22" width="7" customWidth="1"/>
    <col min="23" max="23" width="14" customWidth="1"/>
    <col min="24" max="24" width="10" customWidth="1"/>
    <col min="25" max="25" width="7" customWidth="1"/>
    <col min="26" max="26" width="14" customWidth="1"/>
    <col min="27" max="27" width="10" customWidth="1"/>
    <col min="28" max="28" width="7" customWidth="1"/>
    <col min="29" max="29" width="14" customWidth="1"/>
    <col min="30" max="30" width="10" customWidth="1"/>
    <col min="31" max="31" width="7" customWidth="1"/>
    <col min="32" max="32" width="14" customWidth="1"/>
    <col min="33" max="33" width="10" customWidth="1"/>
    <col min="34" max="36" width="32" customWidth="1"/>
    <col min="37" max="37" width="28" customWidth="1"/>
    <col min="38" max="38" width="20" customWidth="1"/>
    <col min="39" max="39" width="7" customWidth="1"/>
    <col min="40" max="40" width="14" customWidth="1"/>
    <col min="41" max="41" width="28" customWidth="1"/>
    <col min="42" max="42" width="20" customWidth="1"/>
    <col min="43" max="43" width="7" customWidth="1"/>
    <col min="44" max="44" width="14" customWidth="1"/>
    <col min="45" max="45" width="28" customWidth="1"/>
    <col min="46" max="46" width="20" customWidth="1"/>
    <col min="47" max="47" width="7" customWidth="1"/>
    <col min="48" max="48" width="14" customWidth="1"/>
    <col min="49" max="49" width="40" customWidth="1"/>
    <col min="50" max="50" width="18" customWidth="1"/>
    <col min="51" max="51" width="8" customWidth="1"/>
  </cols>
  <sheetData>
    <row r="1" spans="1:51" ht="24" customHeight="1" x14ac:dyDescent="0.2">
      <c r="A1" s="1" t="s">
        <v>3015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8" customHeight="1" x14ac:dyDescent="0.2">
      <c r="A2" s="3" t="s">
        <v>3016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4" spans="1:51" ht="31.5" customHeight="1" x14ac:dyDescent="0.2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5" t="s">
        <v>45</v>
      </c>
      <c r="L4" s="5" t="s">
        <v>46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  <c r="R4" s="5" t="s">
        <v>52</v>
      </c>
      <c r="S4" s="5" t="s">
        <v>53</v>
      </c>
      <c r="T4" s="5" t="s">
        <v>12</v>
      </c>
      <c r="U4" s="5" t="s">
        <v>54</v>
      </c>
      <c r="V4" s="5" t="s">
        <v>55</v>
      </c>
      <c r="W4" s="5" t="s">
        <v>56</v>
      </c>
      <c r="X4" s="5" t="s">
        <v>57</v>
      </c>
      <c r="Y4" s="5" t="s">
        <v>58</v>
      </c>
      <c r="Z4" s="5" t="s">
        <v>59</v>
      </c>
      <c r="AA4" s="5" t="s">
        <v>60</v>
      </c>
      <c r="AB4" s="5" t="s">
        <v>61</v>
      </c>
      <c r="AC4" s="5" t="s">
        <v>62</v>
      </c>
      <c r="AD4" s="5" t="s">
        <v>63</v>
      </c>
      <c r="AE4" s="5" t="s">
        <v>64</v>
      </c>
      <c r="AF4" s="5" t="s">
        <v>65</v>
      </c>
      <c r="AG4" s="5" t="s">
        <v>66</v>
      </c>
      <c r="AH4" s="5" t="s">
        <v>67</v>
      </c>
      <c r="AI4" s="5" t="s">
        <v>68</v>
      </c>
      <c r="AJ4" s="5" t="s">
        <v>69</v>
      </c>
      <c r="AK4" s="5" t="s">
        <v>70</v>
      </c>
      <c r="AL4" s="5" t="s">
        <v>71</v>
      </c>
      <c r="AM4" s="5" t="s">
        <v>72</v>
      </c>
      <c r="AN4" s="5" t="s">
        <v>73</v>
      </c>
      <c r="AO4" s="5" t="s">
        <v>74</v>
      </c>
      <c r="AP4" s="5" t="s">
        <v>75</v>
      </c>
      <c r="AQ4" s="5" t="s">
        <v>76</v>
      </c>
      <c r="AR4" s="5" t="s">
        <v>77</v>
      </c>
      <c r="AS4" s="5" t="s">
        <v>78</v>
      </c>
      <c r="AT4" s="5" t="s">
        <v>79</v>
      </c>
      <c r="AU4" s="5" t="s">
        <v>80</v>
      </c>
      <c r="AV4" s="5" t="s">
        <v>81</v>
      </c>
      <c r="AW4" s="5" t="s">
        <v>82</v>
      </c>
      <c r="AX4" s="5" t="s">
        <v>83</v>
      </c>
      <c r="AY4" s="5" t="s">
        <v>84</v>
      </c>
    </row>
    <row r="5" spans="1:51" x14ac:dyDescent="0.2">
      <c r="A5" s="24" t="s">
        <v>3017</v>
      </c>
      <c r="B5" s="24" t="s">
        <v>3018</v>
      </c>
      <c r="C5" s="24"/>
      <c r="D5" s="24" t="s">
        <v>87</v>
      </c>
      <c r="E5" s="25">
        <v>460539807</v>
      </c>
      <c r="F5" s="25">
        <v>46520000</v>
      </c>
      <c r="G5" s="26">
        <v>570</v>
      </c>
      <c r="H5" s="26">
        <v>757</v>
      </c>
      <c r="I5" s="24" t="s">
        <v>88</v>
      </c>
      <c r="J5" s="24" t="s">
        <v>89</v>
      </c>
      <c r="K5" s="24" t="s">
        <v>192</v>
      </c>
      <c r="L5" s="24" t="s">
        <v>193</v>
      </c>
      <c r="M5" s="24" t="s">
        <v>3019</v>
      </c>
      <c r="N5" s="26">
        <v>0</v>
      </c>
      <c r="O5" s="24" t="s">
        <v>3020</v>
      </c>
      <c r="P5" s="24" t="s">
        <v>3021</v>
      </c>
      <c r="Q5" s="24"/>
      <c r="R5" s="24" t="s">
        <v>3022</v>
      </c>
      <c r="S5" s="24" t="s">
        <v>3023</v>
      </c>
      <c r="T5" s="24" t="s">
        <v>24</v>
      </c>
      <c r="U5" s="24" t="s">
        <v>3024</v>
      </c>
      <c r="V5" s="24" t="s">
        <v>213</v>
      </c>
      <c r="W5" s="24" t="s">
        <v>3025</v>
      </c>
      <c r="X5" s="24" t="s">
        <v>100</v>
      </c>
      <c r="Y5" s="24" t="s">
        <v>213</v>
      </c>
      <c r="Z5" s="24" t="s">
        <v>3026</v>
      </c>
      <c r="AA5" s="24" t="s">
        <v>100</v>
      </c>
      <c r="AB5" s="24" t="s">
        <v>213</v>
      </c>
      <c r="AC5" s="24" t="s">
        <v>3027</v>
      </c>
      <c r="AD5" s="24" t="s">
        <v>100</v>
      </c>
      <c r="AE5" s="24" t="s">
        <v>213</v>
      </c>
      <c r="AF5" s="24" t="s">
        <v>3028</v>
      </c>
      <c r="AG5" s="24" t="s">
        <v>104</v>
      </c>
      <c r="AH5" s="24" t="s">
        <v>3029</v>
      </c>
      <c r="AI5" s="24" t="s">
        <v>3030</v>
      </c>
      <c r="AJ5" s="24" t="s">
        <v>3031</v>
      </c>
      <c r="AK5" s="24" t="s">
        <v>3032</v>
      </c>
      <c r="AL5" s="24" t="s">
        <v>109</v>
      </c>
      <c r="AM5" s="24" t="s">
        <v>213</v>
      </c>
      <c r="AN5" s="24" t="s">
        <v>3033</v>
      </c>
      <c r="AO5" s="24" t="s">
        <v>3034</v>
      </c>
      <c r="AP5" s="24" t="s">
        <v>109</v>
      </c>
      <c r="AQ5" s="24" t="s">
        <v>213</v>
      </c>
      <c r="AR5" s="24" t="s">
        <v>3035</v>
      </c>
      <c r="AS5" s="24" t="s">
        <v>3036</v>
      </c>
      <c r="AT5" s="24" t="s">
        <v>208</v>
      </c>
      <c r="AU5" s="24"/>
      <c r="AV5" s="24"/>
      <c r="AW5" s="24" t="s">
        <v>3037</v>
      </c>
      <c r="AX5" s="24" t="s">
        <v>3038</v>
      </c>
      <c r="AY5" s="24" t="s">
        <v>115</v>
      </c>
    </row>
    <row r="6" spans="1:51" x14ac:dyDescent="0.2">
      <c r="A6" s="27" t="s">
        <v>3039</v>
      </c>
      <c r="B6" s="27" t="s">
        <v>3040</v>
      </c>
      <c r="C6" s="27"/>
      <c r="D6" s="27" t="s">
        <v>87</v>
      </c>
      <c r="E6" s="28">
        <v>423611699</v>
      </c>
      <c r="F6" s="28">
        <v>8250277</v>
      </c>
      <c r="G6" s="29">
        <v>508</v>
      </c>
      <c r="H6" s="29">
        <v>635</v>
      </c>
      <c r="I6" s="27" t="s">
        <v>143</v>
      </c>
      <c r="J6" s="27" t="s">
        <v>89</v>
      </c>
      <c r="K6" s="27" t="s">
        <v>271</v>
      </c>
      <c r="L6" s="27" t="s">
        <v>272</v>
      </c>
      <c r="M6" s="27" t="s">
        <v>3041</v>
      </c>
      <c r="N6" s="29">
        <v>0</v>
      </c>
      <c r="O6" s="27" t="s">
        <v>3042</v>
      </c>
      <c r="P6" s="27" t="s">
        <v>3043</v>
      </c>
      <c r="Q6" s="27"/>
      <c r="R6" s="27" t="s">
        <v>3044</v>
      </c>
      <c r="S6" s="27" t="s">
        <v>3045</v>
      </c>
      <c r="T6" s="27" t="s">
        <v>15</v>
      </c>
      <c r="U6" s="27" t="s">
        <v>3046</v>
      </c>
      <c r="V6" s="27" t="s">
        <v>3047</v>
      </c>
      <c r="W6" s="27" t="s">
        <v>3048</v>
      </c>
      <c r="X6" s="27" t="s">
        <v>100</v>
      </c>
      <c r="Y6" s="27" t="s">
        <v>3047</v>
      </c>
      <c r="Z6" s="27" t="s">
        <v>3049</v>
      </c>
      <c r="AA6" s="27" t="s">
        <v>100</v>
      </c>
      <c r="AB6" s="27" t="s">
        <v>3047</v>
      </c>
      <c r="AC6" s="27" t="s">
        <v>3050</v>
      </c>
      <c r="AD6" s="27" t="s">
        <v>100</v>
      </c>
      <c r="AE6" s="27" t="s">
        <v>3047</v>
      </c>
      <c r="AF6" s="27" t="s">
        <v>3051</v>
      </c>
      <c r="AG6" s="27" t="s">
        <v>104</v>
      </c>
      <c r="AH6" s="27" t="s">
        <v>3052</v>
      </c>
      <c r="AI6" s="27"/>
      <c r="AJ6" s="27"/>
      <c r="AK6" s="27" t="s">
        <v>3053</v>
      </c>
      <c r="AL6" s="27" t="s">
        <v>237</v>
      </c>
      <c r="AM6" s="27"/>
      <c r="AN6" s="27"/>
      <c r="AO6" s="27" t="s">
        <v>3054</v>
      </c>
      <c r="AP6" s="27" t="s">
        <v>3055</v>
      </c>
      <c r="AQ6" s="27"/>
      <c r="AR6" s="27"/>
      <c r="AS6" s="27" t="s">
        <v>3056</v>
      </c>
      <c r="AT6" s="27" t="s">
        <v>163</v>
      </c>
      <c r="AU6" s="27" t="s">
        <v>98</v>
      </c>
      <c r="AV6" s="27" t="s">
        <v>3057</v>
      </c>
      <c r="AW6" s="27" t="s">
        <v>3058</v>
      </c>
      <c r="AX6" s="27" t="s">
        <v>3059</v>
      </c>
      <c r="AY6" s="27" t="s">
        <v>290</v>
      </c>
    </row>
    <row r="7" spans="1:51" x14ac:dyDescent="0.2">
      <c r="A7" s="24" t="s">
        <v>3060</v>
      </c>
      <c r="B7" s="24" t="s">
        <v>3061</v>
      </c>
      <c r="C7" s="24"/>
      <c r="D7" s="24" t="s">
        <v>87</v>
      </c>
      <c r="E7" s="25">
        <v>412627998</v>
      </c>
      <c r="F7" s="25">
        <v>22667000</v>
      </c>
      <c r="G7" s="26">
        <v>589</v>
      </c>
      <c r="H7" s="26">
        <v>838</v>
      </c>
      <c r="I7" s="24" t="s">
        <v>88</v>
      </c>
      <c r="J7" s="24" t="s">
        <v>89</v>
      </c>
      <c r="K7" s="24" t="s">
        <v>90</v>
      </c>
      <c r="L7" s="24" t="s">
        <v>91</v>
      </c>
      <c r="M7" s="24" t="s">
        <v>3062</v>
      </c>
      <c r="N7" s="26">
        <v>5</v>
      </c>
      <c r="O7" s="24" t="s">
        <v>3063</v>
      </c>
      <c r="P7" s="24" t="s">
        <v>3064</v>
      </c>
      <c r="Q7" s="24"/>
      <c r="R7" s="24" t="s">
        <v>3065</v>
      </c>
      <c r="S7" s="24" t="s">
        <v>1772</v>
      </c>
      <c r="T7" s="24" t="s">
        <v>29</v>
      </c>
      <c r="U7" s="24" t="s">
        <v>3066</v>
      </c>
      <c r="V7" s="24" t="s">
        <v>573</v>
      </c>
      <c r="W7" s="24" t="s">
        <v>3067</v>
      </c>
      <c r="X7" s="24" t="s">
        <v>100</v>
      </c>
      <c r="Y7" s="24" t="s">
        <v>573</v>
      </c>
      <c r="Z7" s="24" t="s">
        <v>3068</v>
      </c>
      <c r="AA7" s="24" t="s">
        <v>100</v>
      </c>
      <c r="AB7" s="24" t="s">
        <v>573</v>
      </c>
      <c r="AC7" s="24" t="s">
        <v>3069</v>
      </c>
      <c r="AD7" s="24" t="s">
        <v>100</v>
      </c>
      <c r="AE7" s="24" t="s">
        <v>573</v>
      </c>
      <c r="AF7" s="24" t="s">
        <v>3070</v>
      </c>
      <c r="AG7" s="24" t="s">
        <v>104</v>
      </c>
      <c r="AH7" s="24" t="s">
        <v>3071</v>
      </c>
      <c r="AI7" s="24" t="s">
        <v>3072</v>
      </c>
      <c r="AJ7" s="24"/>
      <c r="AK7" s="24" t="s">
        <v>3073</v>
      </c>
      <c r="AL7" s="24" t="s">
        <v>133</v>
      </c>
      <c r="AM7" s="24" t="s">
        <v>394</v>
      </c>
      <c r="AN7" s="24" t="s">
        <v>3074</v>
      </c>
      <c r="AO7" s="24" t="s">
        <v>3075</v>
      </c>
      <c r="AP7" s="24" t="s">
        <v>133</v>
      </c>
      <c r="AQ7" s="24" t="s">
        <v>573</v>
      </c>
      <c r="AR7" s="24" t="s">
        <v>3076</v>
      </c>
      <c r="AS7" s="24" t="s">
        <v>3077</v>
      </c>
      <c r="AT7" s="24" t="s">
        <v>163</v>
      </c>
      <c r="AU7" s="24" t="s">
        <v>573</v>
      </c>
      <c r="AV7" s="24" t="s">
        <v>3078</v>
      </c>
      <c r="AW7" s="24" t="s">
        <v>3079</v>
      </c>
      <c r="AX7" s="24" t="s">
        <v>3080</v>
      </c>
      <c r="AY7" s="24" t="s">
        <v>115</v>
      </c>
    </row>
    <row r="8" spans="1:51" x14ac:dyDescent="0.2">
      <c r="A8" s="27" t="s">
        <v>3081</v>
      </c>
      <c r="B8" s="27" t="s">
        <v>3082</v>
      </c>
      <c r="C8" s="27"/>
      <c r="D8" s="27" t="s">
        <v>87</v>
      </c>
      <c r="E8" s="28">
        <v>395800119</v>
      </c>
      <c r="F8" s="28">
        <v>10000000</v>
      </c>
      <c r="G8" s="29"/>
      <c r="H8" s="29">
        <v>474</v>
      </c>
      <c r="I8" s="27" t="s">
        <v>219</v>
      </c>
      <c r="J8" s="27" t="s">
        <v>89</v>
      </c>
      <c r="K8" s="27" t="s">
        <v>2127</v>
      </c>
      <c r="L8" s="27" t="s">
        <v>2128</v>
      </c>
      <c r="M8" s="27" t="s">
        <v>3083</v>
      </c>
      <c r="N8" s="29">
        <v>4</v>
      </c>
      <c r="O8" s="27" t="s">
        <v>3084</v>
      </c>
      <c r="P8" s="27" t="s">
        <v>460</v>
      </c>
      <c r="Q8" s="27" t="s">
        <v>3085</v>
      </c>
      <c r="R8" s="27" t="s">
        <v>3086</v>
      </c>
      <c r="S8" s="27" t="s">
        <v>1248</v>
      </c>
      <c r="T8" s="27" t="s">
        <v>28</v>
      </c>
      <c r="U8" s="27" t="s">
        <v>3087</v>
      </c>
      <c r="V8" s="27" t="s">
        <v>394</v>
      </c>
      <c r="W8" s="27" t="s">
        <v>3088</v>
      </c>
      <c r="X8" s="27" t="s">
        <v>100</v>
      </c>
      <c r="Y8" s="27" t="s">
        <v>394</v>
      </c>
      <c r="Z8" s="27" t="s">
        <v>3089</v>
      </c>
      <c r="AA8" s="27" t="s">
        <v>100</v>
      </c>
      <c r="AB8" s="27" t="s">
        <v>394</v>
      </c>
      <c r="AC8" s="27" t="s">
        <v>3090</v>
      </c>
      <c r="AD8" s="27" t="s">
        <v>100</v>
      </c>
      <c r="AE8" s="27" t="s">
        <v>394</v>
      </c>
      <c r="AF8" s="27" t="s">
        <v>3091</v>
      </c>
      <c r="AG8" s="27" t="s">
        <v>104</v>
      </c>
      <c r="AH8" s="27" t="s">
        <v>3092</v>
      </c>
      <c r="AI8" s="27" t="s">
        <v>3093</v>
      </c>
      <c r="AJ8" s="27"/>
      <c r="AK8" s="27" t="s">
        <v>3094</v>
      </c>
      <c r="AL8" s="27" t="s">
        <v>163</v>
      </c>
      <c r="AM8" s="27" t="s">
        <v>394</v>
      </c>
      <c r="AN8" s="27" t="s">
        <v>3095</v>
      </c>
      <c r="AO8" s="27" t="s">
        <v>3096</v>
      </c>
      <c r="AP8" s="27" t="s">
        <v>163</v>
      </c>
      <c r="AQ8" s="27" t="s">
        <v>394</v>
      </c>
      <c r="AR8" s="27" t="s">
        <v>3097</v>
      </c>
      <c r="AS8" s="27" t="s">
        <v>3098</v>
      </c>
      <c r="AT8" s="27" t="s">
        <v>136</v>
      </c>
      <c r="AU8" s="27"/>
      <c r="AV8" s="27"/>
      <c r="AW8" s="27"/>
      <c r="AX8" s="27" t="s">
        <v>3099</v>
      </c>
      <c r="AY8" s="27" t="s">
        <v>115</v>
      </c>
    </row>
    <row r="9" spans="1:51" x14ac:dyDescent="0.2">
      <c r="A9" s="24" t="s">
        <v>3100</v>
      </c>
      <c r="B9" s="24" t="s">
        <v>3101</v>
      </c>
      <c r="C9" s="24" t="s">
        <v>3102</v>
      </c>
      <c r="D9" s="24" t="s">
        <v>87</v>
      </c>
      <c r="E9" s="25">
        <v>386911906</v>
      </c>
      <c r="F9" s="25">
        <v>2660528</v>
      </c>
      <c r="G9" s="26">
        <v>253</v>
      </c>
      <c r="H9" s="26">
        <v>729</v>
      </c>
      <c r="I9" s="24" t="s">
        <v>88</v>
      </c>
      <c r="J9" s="24" t="s">
        <v>89</v>
      </c>
      <c r="K9" s="24" t="s">
        <v>144</v>
      </c>
      <c r="L9" s="24" t="s">
        <v>145</v>
      </c>
      <c r="M9" s="24" t="s">
        <v>3103</v>
      </c>
      <c r="N9" s="26">
        <v>0</v>
      </c>
      <c r="O9" s="24" t="s">
        <v>3104</v>
      </c>
      <c r="P9" s="24" t="s">
        <v>3105</v>
      </c>
      <c r="Q9" s="24"/>
      <c r="R9" s="24" t="s">
        <v>3106</v>
      </c>
      <c r="S9" s="24" t="s">
        <v>3107</v>
      </c>
      <c r="T9" s="24" t="s">
        <v>28</v>
      </c>
      <c r="U9" s="24" t="s">
        <v>3108</v>
      </c>
      <c r="V9" s="24" t="s">
        <v>644</v>
      </c>
      <c r="W9" s="24" t="s">
        <v>3109</v>
      </c>
      <c r="X9" s="24" t="s">
        <v>100</v>
      </c>
      <c r="Y9" s="24" t="s">
        <v>644</v>
      </c>
      <c r="Z9" s="24" t="s">
        <v>3110</v>
      </c>
      <c r="AA9" s="24" t="s">
        <v>100</v>
      </c>
      <c r="AB9" s="24" t="s">
        <v>644</v>
      </c>
      <c r="AC9" s="24" t="s">
        <v>3111</v>
      </c>
      <c r="AD9" s="24" t="s">
        <v>100</v>
      </c>
      <c r="AE9" s="24" t="s">
        <v>644</v>
      </c>
      <c r="AF9" s="24" t="s">
        <v>3112</v>
      </c>
      <c r="AG9" s="24" t="s">
        <v>104</v>
      </c>
      <c r="AH9" s="24" t="s">
        <v>3113</v>
      </c>
      <c r="AI9" s="24"/>
      <c r="AJ9" s="24"/>
      <c r="AK9" s="24" t="s">
        <v>3114</v>
      </c>
      <c r="AL9" s="24" t="s">
        <v>133</v>
      </c>
      <c r="AM9" s="24" t="s">
        <v>644</v>
      </c>
      <c r="AN9" s="24" t="s">
        <v>3115</v>
      </c>
      <c r="AO9" s="24" t="s">
        <v>3116</v>
      </c>
      <c r="AP9" s="24" t="s">
        <v>133</v>
      </c>
      <c r="AQ9" s="24" t="s">
        <v>644</v>
      </c>
      <c r="AR9" s="24" t="s">
        <v>3117</v>
      </c>
      <c r="AS9" s="24" t="s">
        <v>3118</v>
      </c>
      <c r="AT9" s="24" t="s">
        <v>163</v>
      </c>
      <c r="AU9" s="24"/>
      <c r="AV9" s="24"/>
      <c r="AW9" s="24" t="s">
        <v>3119</v>
      </c>
      <c r="AX9" s="24" t="s">
        <v>3120</v>
      </c>
      <c r="AY9" s="24" t="s">
        <v>115</v>
      </c>
    </row>
    <row r="10" spans="1:51" x14ac:dyDescent="0.2">
      <c r="A10" s="27" t="s">
        <v>3121</v>
      </c>
      <c r="B10" s="27" t="s">
        <v>3122</v>
      </c>
      <c r="C10" s="27" t="s">
        <v>3123</v>
      </c>
      <c r="D10" s="27" t="s">
        <v>87</v>
      </c>
      <c r="E10" s="28">
        <v>372100344</v>
      </c>
      <c r="F10" s="28">
        <v>123671246</v>
      </c>
      <c r="G10" s="29"/>
      <c r="H10" s="29">
        <v>549</v>
      </c>
      <c r="I10" s="27" t="s">
        <v>143</v>
      </c>
      <c r="J10" s="27" t="s">
        <v>89</v>
      </c>
      <c r="K10" s="27" t="s">
        <v>192</v>
      </c>
      <c r="L10" s="27" t="s">
        <v>193</v>
      </c>
      <c r="M10" s="27" t="s">
        <v>3124</v>
      </c>
      <c r="N10" s="29">
        <v>0</v>
      </c>
      <c r="O10" s="27" t="s">
        <v>3125</v>
      </c>
      <c r="P10" s="27" t="s">
        <v>3126</v>
      </c>
      <c r="Q10" s="27" t="s">
        <v>3127</v>
      </c>
      <c r="R10" s="27" t="s">
        <v>3128</v>
      </c>
      <c r="S10" s="27" t="s">
        <v>3129</v>
      </c>
      <c r="T10" s="27" t="s">
        <v>31</v>
      </c>
      <c r="U10" s="27" t="s">
        <v>3130</v>
      </c>
      <c r="V10" s="27" t="s">
        <v>397</v>
      </c>
      <c r="W10" s="27" t="s">
        <v>3131</v>
      </c>
      <c r="X10" s="27" t="s">
        <v>104</v>
      </c>
      <c r="Y10" s="27"/>
      <c r="Z10" s="27"/>
      <c r="AA10" s="27"/>
      <c r="AB10" s="27"/>
      <c r="AC10" s="27"/>
      <c r="AD10" s="27"/>
      <c r="AE10" s="27"/>
      <c r="AF10" s="27"/>
      <c r="AG10" s="27"/>
      <c r="AH10" s="27" t="s">
        <v>3132</v>
      </c>
      <c r="AI10" s="27"/>
      <c r="AJ10" s="27"/>
      <c r="AK10" s="27" t="s">
        <v>3133</v>
      </c>
      <c r="AL10" s="27" t="s">
        <v>185</v>
      </c>
      <c r="AM10" s="27" t="s">
        <v>98</v>
      </c>
      <c r="AN10" s="27" t="s">
        <v>3134</v>
      </c>
      <c r="AO10" s="27" t="s">
        <v>3135</v>
      </c>
      <c r="AP10" s="27" t="s">
        <v>109</v>
      </c>
      <c r="AQ10" s="27" t="s">
        <v>98</v>
      </c>
      <c r="AR10" s="27" t="s">
        <v>3136</v>
      </c>
      <c r="AS10" s="27"/>
      <c r="AT10" s="27"/>
      <c r="AU10" s="27"/>
      <c r="AV10" s="27"/>
      <c r="AW10" s="27" t="s">
        <v>3137</v>
      </c>
      <c r="AX10" s="27" t="s">
        <v>3138</v>
      </c>
      <c r="AY10" s="27" t="s">
        <v>290</v>
      </c>
    </row>
    <row r="11" spans="1:51" x14ac:dyDescent="0.2">
      <c r="A11" s="24" t="s">
        <v>3139</v>
      </c>
      <c r="B11" s="24" t="s">
        <v>3140</v>
      </c>
      <c r="C11" s="24" t="s">
        <v>3141</v>
      </c>
      <c r="D11" s="24" t="s">
        <v>87</v>
      </c>
      <c r="E11" s="25">
        <v>359954454</v>
      </c>
      <c r="F11" s="25">
        <v>11000000</v>
      </c>
      <c r="G11" s="26">
        <v>468</v>
      </c>
      <c r="H11" s="26">
        <v>914</v>
      </c>
      <c r="I11" s="24" t="s">
        <v>88</v>
      </c>
      <c r="J11" s="24" t="s">
        <v>89</v>
      </c>
      <c r="K11" s="24" t="s">
        <v>168</v>
      </c>
      <c r="L11" s="24" t="s">
        <v>169</v>
      </c>
      <c r="M11" s="24" t="s">
        <v>3142</v>
      </c>
      <c r="N11" s="26">
        <v>2</v>
      </c>
      <c r="O11" s="24" t="s">
        <v>3143</v>
      </c>
      <c r="P11" s="24" t="s">
        <v>3144</v>
      </c>
      <c r="Q11" s="24" t="s">
        <v>3145</v>
      </c>
      <c r="R11" s="24" t="s">
        <v>872</v>
      </c>
      <c r="S11" s="24" t="s">
        <v>3146</v>
      </c>
      <c r="T11" s="24" t="s">
        <v>21</v>
      </c>
      <c r="U11" s="24" t="s">
        <v>3147</v>
      </c>
      <c r="V11" s="24" t="s">
        <v>176</v>
      </c>
      <c r="W11" s="24" t="s">
        <v>3148</v>
      </c>
      <c r="X11" s="24" t="s">
        <v>100</v>
      </c>
      <c r="Y11" s="24" t="s">
        <v>176</v>
      </c>
      <c r="Z11" s="24" t="s">
        <v>3149</v>
      </c>
      <c r="AA11" s="24" t="s">
        <v>100</v>
      </c>
      <c r="AB11" s="24" t="s">
        <v>176</v>
      </c>
      <c r="AC11" s="24" t="s">
        <v>3150</v>
      </c>
      <c r="AD11" s="24" t="s">
        <v>100</v>
      </c>
      <c r="AE11" s="24" t="s">
        <v>176</v>
      </c>
      <c r="AF11" s="24" t="s">
        <v>3151</v>
      </c>
      <c r="AG11" s="24" t="s">
        <v>104</v>
      </c>
      <c r="AH11" s="24" t="s">
        <v>3152</v>
      </c>
      <c r="AI11" s="24" t="s">
        <v>3153</v>
      </c>
      <c r="AJ11" s="24" t="s">
        <v>3154</v>
      </c>
      <c r="AK11" s="24" t="s">
        <v>3155</v>
      </c>
      <c r="AL11" s="24" t="s">
        <v>133</v>
      </c>
      <c r="AM11" s="24" t="s">
        <v>176</v>
      </c>
      <c r="AN11" s="24" t="s">
        <v>3156</v>
      </c>
      <c r="AO11" s="24" t="s">
        <v>3157</v>
      </c>
      <c r="AP11" s="24" t="s">
        <v>133</v>
      </c>
      <c r="AQ11" s="24" t="s">
        <v>176</v>
      </c>
      <c r="AR11" s="24" t="s">
        <v>3158</v>
      </c>
      <c r="AS11" s="24"/>
      <c r="AT11" s="24"/>
      <c r="AU11" s="24"/>
      <c r="AV11" s="24"/>
      <c r="AW11" s="24" t="s">
        <v>3159</v>
      </c>
      <c r="AX11" s="24" t="s">
        <v>3160</v>
      </c>
      <c r="AY11" s="24" t="s">
        <v>115</v>
      </c>
    </row>
    <row r="12" spans="1:51" x14ac:dyDescent="0.2">
      <c r="A12" s="27" t="s">
        <v>3161</v>
      </c>
      <c r="B12" s="27" t="s">
        <v>3162</v>
      </c>
      <c r="C12" s="27" t="s">
        <v>3163</v>
      </c>
      <c r="D12" s="27" t="s">
        <v>87</v>
      </c>
      <c r="E12" s="28">
        <v>334895944</v>
      </c>
      <c r="F12" s="28">
        <v>4085127689</v>
      </c>
      <c r="G12" s="29"/>
      <c r="H12" s="29">
        <v>711</v>
      </c>
      <c r="I12" s="27" t="s">
        <v>88</v>
      </c>
      <c r="J12" s="27" t="s">
        <v>89</v>
      </c>
      <c r="K12" s="27" t="s">
        <v>144</v>
      </c>
      <c r="L12" s="27" t="s">
        <v>145</v>
      </c>
      <c r="M12" s="27" t="s">
        <v>3164</v>
      </c>
      <c r="N12" s="29">
        <v>61</v>
      </c>
      <c r="O12" s="27" t="s">
        <v>3165</v>
      </c>
      <c r="P12" s="27" t="s">
        <v>745</v>
      </c>
      <c r="Q12" s="27" t="s">
        <v>3166</v>
      </c>
      <c r="R12" s="27" t="s">
        <v>910</v>
      </c>
      <c r="S12" s="27" t="s">
        <v>342</v>
      </c>
      <c r="T12" s="27" t="s">
        <v>31</v>
      </c>
      <c r="U12" s="27" t="s">
        <v>3167</v>
      </c>
      <c r="V12" s="27" t="s">
        <v>1021</v>
      </c>
      <c r="W12" s="27" t="s">
        <v>3168</v>
      </c>
      <c r="X12" s="27" t="s">
        <v>100</v>
      </c>
      <c r="Y12" s="27" t="s">
        <v>1021</v>
      </c>
      <c r="Z12" s="27" t="s">
        <v>3169</v>
      </c>
      <c r="AA12" s="27" t="s">
        <v>100</v>
      </c>
      <c r="AB12" s="27"/>
      <c r="AC12" s="27"/>
      <c r="AD12" s="27"/>
      <c r="AE12" s="27"/>
      <c r="AF12" s="27"/>
      <c r="AG12" s="27"/>
      <c r="AH12" s="27" t="s">
        <v>3170</v>
      </c>
      <c r="AI12" s="27"/>
      <c r="AJ12" s="27"/>
      <c r="AK12" s="27" t="s">
        <v>3171</v>
      </c>
      <c r="AL12" s="27" t="s">
        <v>163</v>
      </c>
      <c r="AM12" s="27" t="s">
        <v>98</v>
      </c>
      <c r="AN12" s="27" t="s">
        <v>3172</v>
      </c>
      <c r="AO12" s="27" t="s">
        <v>3173</v>
      </c>
      <c r="AP12" s="27" t="s">
        <v>136</v>
      </c>
      <c r="AQ12" s="27" t="s">
        <v>233</v>
      </c>
      <c r="AR12" s="27" t="s">
        <v>3174</v>
      </c>
      <c r="AS12" s="27" t="s">
        <v>3175</v>
      </c>
      <c r="AT12" s="27" t="s">
        <v>136</v>
      </c>
      <c r="AU12" s="27" t="s">
        <v>1063</v>
      </c>
      <c r="AV12" s="27" t="s">
        <v>3176</v>
      </c>
      <c r="AW12" s="27" t="s">
        <v>3177</v>
      </c>
      <c r="AX12" s="27" t="s">
        <v>3178</v>
      </c>
      <c r="AY12" s="27" t="s">
        <v>115</v>
      </c>
    </row>
    <row r="13" spans="1:51" x14ac:dyDescent="0.2">
      <c r="A13" s="24" t="s">
        <v>3179</v>
      </c>
      <c r="B13" s="24" t="s">
        <v>3180</v>
      </c>
      <c r="C13" s="24" t="s">
        <v>3181</v>
      </c>
      <c r="D13" s="24" t="s">
        <v>87</v>
      </c>
      <c r="E13" s="25">
        <v>328088178</v>
      </c>
      <c r="F13" s="25">
        <v>4000000</v>
      </c>
      <c r="G13" s="26">
        <v>174</v>
      </c>
      <c r="H13" s="26">
        <v>630</v>
      </c>
      <c r="I13" s="24" t="s">
        <v>143</v>
      </c>
      <c r="J13" s="24" t="s">
        <v>89</v>
      </c>
      <c r="K13" s="24" t="s">
        <v>1225</v>
      </c>
      <c r="L13" s="24" t="s">
        <v>1226</v>
      </c>
      <c r="M13" s="24" t="s">
        <v>3182</v>
      </c>
      <c r="N13" s="26">
        <v>2</v>
      </c>
      <c r="O13" s="24" t="s">
        <v>3183</v>
      </c>
      <c r="P13" s="24"/>
      <c r="Q13" s="24" t="s">
        <v>3184</v>
      </c>
      <c r="R13" s="24" t="s">
        <v>1081</v>
      </c>
      <c r="S13" s="24" t="s">
        <v>3185</v>
      </c>
      <c r="T13" s="24" t="s">
        <v>21</v>
      </c>
      <c r="U13" s="24" t="s">
        <v>3186</v>
      </c>
      <c r="V13" s="24" t="s">
        <v>749</v>
      </c>
      <c r="W13" s="24" t="s">
        <v>3187</v>
      </c>
      <c r="X13" s="24" t="s">
        <v>100</v>
      </c>
      <c r="Y13" s="24" t="s">
        <v>749</v>
      </c>
      <c r="Z13" s="24" t="s">
        <v>3188</v>
      </c>
      <c r="AA13" s="24" t="s">
        <v>100</v>
      </c>
      <c r="AB13" s="24" t="s">
        <v>749</v>
      </c>
      <c r="AC13" s="24" t="s">
        <v>3189</v>
      </c>
      <c r="AD13" s="24" t="s">
        <v>104</v>
      </c>
      <c r="AE13" s="24"/>
      <c r="AF13" s="24"/>
      <c r="AG13" s="24"/>
      <c r="AH13" s="24" t="s">
        <v>3190</v>
      </c>
      <c r="AI13" s="24" t="s">
        <v>3191</v>
      </c>
      <c r="AJ13" s="24"/>
      <c r="AK13" s="24" t="s">
        <v>3192</v>
      </c>
      <c r="AL13" s="24" t="s">
        <v>185</v>
      </c>
      <c r="AM13" s="24" t="s">
        <v>126</v>
      </c>
      <c r="AN13" s="24" t="s">
        <v>3193</v>
      </c>
      <c r="AO13" s="24" t="s">
        <v>3194</v>
      </c>
      <c r="AP13" s="24" t="s">
        <v>109</v>
      </c>
      <c r="AQ13" s="24" t="s">
        <v>749</v>
      </c>
      <c r="AR13" s="24" t="s">
        <v>3195</v>
      </c>
      <c r="AS13" s="24"/>
      <c r="AT13" s="24"/>
      <c r="AU13" s="24"/>
      <c r="AV13" s="24"/>
      <c r="AW13" s="24" t="s">
        <v>3196</v>
      </c>
      <c r="AX13" s="24" t="s">
        <v>3197</v>
      </c>
      <c r="AY13" s="24" t="s">
        <v>290</v>
      </c>
    </row>
    <row r="14" spans="1:51" x14ac:dyDescent="0.2">
      <c r="A14" s="27" t="s">
        <v>3198</v>
      </c>
      <c r="B14" s="27" t="s">
        <v>3199</v>
      </c>
      <c r="C14" s="27" t="s">
        <v>3200</v>
      </c>
      <c r="D14" s="27" t="s">
        <v>87</v>
      </c>
      <c r="E14" s="28">
        <v>310528875</v>
      </c>
      <c r="F14" s="28">
        <v>27870000</v>
      </c>
      <c r="G14" s="29">
        <v>698</v>
      </c>
      <c r="H14" s="29">
        <v>862</v>
      </c>
      <c r="I14" s="27" t="s">
        <v>88</v>
      </c>
      <c r="J14" s="27" t="s">
        <v>89</v>
      </c>
      <c r="K14" s="27" t="s">
        <v>144</v>
      </c>
      <c r="L14" s="27" t="s">
        <v>145</v>
      </c>
      <c r="M14" s="27" t="s">
        <v>3201</v>
      </c>
      <c r="N14" s="29">
        <v>2</v>
      </c>
      <c r="O14" s="27" t="s">
        <v>3202</v>
      </c>
      <c r="P14" s="27" t="s">
        <v>3203</v>
      </c>
      <c r="Q14" s="27"/>
      <c r="R14" s="27" t="s">
        <v>3204</v>
      </c>
      <c r="S14" s="27" t="s">
        <v>3205</v>
      </c>
      <c r="T14" s="27" t="s">
        <v>19</v>
      </c>
      <c r="U14" s="27" t="s">
        <v>3206</v>
      </c>
      <c r="V14" s="27" t="s">
        <v>321</v>
      </c>
      <c r="W14" s="27" t="s">
        <v>3207</v>
      </c>
      <c r="X14" s="27" t="s">
        <v>100</v>
      </c>
      <c r="Y14" s="27" t="s">
        <v>321</v>
      </c>
      <c r="Z14" s="27" t="s">
        <v>3208</v>
      </c>
      <c r="AA14" s="27" t="s">
        <v>100</v>
      </c>
      <c r="AB14" s="27" t="s">
        <v>321</v>
      </c>
      <c r="AC14" s="27" t="s">
        <v>3209</v>
      </c>
      <c r="AD14" s="27" t="s">
        <v>104</v>
      </c>
      <c r="AE14" s="27"/>
      <c r="AF14" s="27"/>
      <c r="AG14" s="27"/>
      <c r="AH14" s="27" t="s">
        <v>3210</v>
      </c>
      <c r="AI14" s="27" t="s">
        <v>3211</v>
      </c>
      <c r="AJ14" s="27" t="s">
        <v>3212</v>
      </c>
      <c r="AK14" s="27" t="s">
        <v>3213</v>
      </c>
      <c r="AL14" s="27" t="s">
        <v>109</v>
      </c>
      <c r="AM14" s="27" t="s">
        <v>321</v>
      </c>
      <c r="AN14" s="27" t="s">
        <v>3214</v>
      </c>
      <c r="AO14" s="27" t="s">
        <v>3215</v>
      </c>
      <c r="AP14" s="27" t="s">
        <v>109</v>
      </c>
      <c r="AQ14" s="27" t="s">
        <v>321</v>
      </c>
      <c r="AR14" s="27" t="s">
        <v>3216</v>
      </c>
      <c r="AS14" s="27" t="s">
        <v>3217</v>
      </c>
      <c r="AT14" s="27" t="s">
        <v>109</v>
      </c>
      <c r="AU14" s="27" t="s">
        <v>321</v>
      </c>
      <c r="AV14" s="27" t="s">
        <v>3218</v>
      </c>
      <c r="AW14" s="27" t="s">
        <v>3219</v>
      </c>
      <c r="AX14" s="27" t="s">
        <v>3220</v>
      </c>
      <c r="AY14" s="27" t="s">
        <v>290</v>
      </c>
    </row>
    <row r="15" spans="1:51" x14ac:dyDescent="0.2">
      <c r="A15" s="24" t="s">
        <v>3221</v>
      </c>
      <c r="B15" s="24" t="s">
        <v>3222</v>
      </c>
      <c r="C15" s="24"/>
      <c r="D15" s="24" t="s">
        <v>87</v>
      </c>
      <c r="E15" s="25">
        <v>287800109</v>
      </c>
      <c r="F15" s="25">
        <v>8948000</v>
      </c>
      <c r="G15" s="26">
        <v>622</v>
      </c>
      <c r="H15" s="26">
        <v>785</v>
      </c>
      <c r="I15" s="24" t="s">
        <v>88</v>
      </c>
      <c r="J15" s="24" t="s">
        <v>89</v>
      </c>
      <c r="K15" s="24" t="s">
        <v>90</v>
      </c>
      <c r="L15" s="24" t="s">
        <v>91</v>
      </c>
      <c r="M15" s="24" t="s">
        <v>3223</v>
      </c>
      <c r="N15" s="26">
        <v>2</v>
      </c>
      <c r="O15" s="24" t="s">
        <v>3224</v>
      </c>
      <c r="P15" s="24" t="s">
        <v>3225</v>
      </c>
      <c r="Q15" s="24"/>
      <c r="R15" s="24" t="s">
        <v>1443</v>
      </c>
      <c r="S15" s="24" t="s">
        <v>1444</v>
      </c>
      <c r="T15" s="24" t="s">
        <v>31</v>
      </c>
      <c r="U15" s="24" t="s">
        <v>3226</v>
      </c>
      <c r="V15" s="24" t="s">
        <v>941</v>
      </c>
      <c r="W15" s="24" t="s">
        <v>3227</v>
      </c>
      <c r="X15" s="24" t="s">
        <v>100</v>
      </c>
      <c r="Y15" s="24" t="s">
        <v>941</v>
      </c>
      <c r="Z15" s="24" t="s">
        <v>3228</v>
      </c>
      <c r="AA15" s="24" t="s">
        <v>104</v>
      </c>
      <c r="AB15" s="24"/>
      <c r="AC15" s="24"/>
      <c r="AD15" s="24"/>
      <c r="AE15" s="24"/>
      <c r="AF15" s="24"/>
      <c r="AG15" s="24"/>
      <c r="AH15" s="24" t="s">
        <v>3229</v>
      </c>
      <c r="AI15" s="24" t="s">
        <v>3230</v>
      </c>
      <c r="AJ15" s="24" t="s">
        <v>3231</v>
      </c>
      <c r="AK15" s="24" t="s">
        <v>3232</v>
      </c>
      <c r="AL15" s="24" t="s">
        <v>163</v>
      </c>
      <c r="AM15" s="24" t="s">
        <v>941</v>
      </c>
      <c r="AN15" s="24" t="s">
        <v>3233</v>
      </c>
      <c r="AO15" s="24" t="s">
        <v>3234</v>
      </c>
      <c r="AP15" s="24" t="s">
        <v>163</v>
      </c>
      <c r="AQ15" s="24" t="s">
        <v>941</v>
      </c>
      <c r="AR15" s="24" t="s">
        <v>3228</v>
      </c>
      <c r="AS15" s="24" t="s">
        <v>3235</v>
      </c>
      <c r="AT15" s="24" t="s">
        <v>163</v>
      </c>
      <c r="AU15" s="24" t="s">
        <v>941</v>
      </c>
      <c r="AV15" s="24" t="s">
        <v>3236</v>
      </c>
      <c r="AW15" s="24" t="s">
        <v>3237</v>
      </c>
      <c r="AX15" s="24" t="s">
        <v>3238</v>
      </c>
      <c r="AY15" s="24" t="s">
        <v>115</v>
      </c>
    </row>
    <row r="16" spans="1:51" x14ac:dyDescent="0.2">
      <c r="A16" s="27" t="s">
        <v>3239</v>
      </c>
      <c r="B16" s="27" t="s">
        <v>3240</v>
      </c>
      <c r="C16" s="27"/>
      <c r="D16" s="27" t="s">
        <v>87</v>
      </c>
      <c r="E16" s="28">
        <v>285414775</v>
      </c>
      <c r="F16" s="28">
        <v>31100000</v>
      </c>
      <c r="G16" s="29">
        <v>353</v>
      </c>
      <c r="H16" s="29">
        <v>772</v>
      </c>
      <c r="I16" s="27" t="s">
        <v>88</v>
      </c>
      <c r="J16" s="27" t="s">
        <v>89</v>
      </c>
      <c r="K16" s="27" t="s">
        <v>90</v>
      </c>
      <c r="L16" s="27" t="s">
        <v>91</v>
      </c>
      <c r="M16" s="27" t="s">
        <v>3241</v>
      </c>
      <c r="N16" s="29">
        <v>3</v>
      </c>
      <c r="O16" s="27" t="s">
        <v>3242</v>
      </c>
      <c r="P16" s="27" t="s">
        <v>3243</v>
      </c>
      <c r="Q16" s="27" t="s">
        <v>3244</v>
      </c>
      <c r="R16" s="27" t="s">
        <v>3245</v>
      </c>
      <c r="S16" s="27" t="s">
        <v>1248</v>
      </c>
      <c r="T16" s="27" t="s">
        <v>28</v>
      </c>
      <c r="U16" s="27" t="s">
        <v>3246</v>
      </c>
      <c r="V16" s="27" t="s">
        <v>394</v>
      </c>
      <c r="W16" s="27" t="s">
        <v>3247</v>
      </c>
      <c r="X16" s="27" t="s">
        <v>104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 t="s">
        <v>3248</v>
      </c>
      <c r="AI16" s="27" t="s">
        <v>3249</v>
      </c>
      <c r="AJ16" s="27"/>
      <c r="AK16" s="27" t="s">
        <v>3250</v>
      </c>
      <c r="AL16" s="27" t="s">
        <v>286</v>
      </c>
      <c r="AM16" s="27" t="s">
        <v>394</v>
      </c>
      <c r="AN16" s="27" t="s">
        <v>3251</v>
      </c>
      <c r="AO16" s="27"/>
      <c r="AP16" s="27"/>
      <c r="AQ16" s="27"/>
      <c r="AR16" s="27"/>
      <c r="AS16" s="27"/>
      <c r="AT16" s="27"/>
      <c r="AU16" s="27"/>
      <c r="AV16" s="27"/>
      <c r="AW16" s="27" t="s">
        <v>3252</v>
      </c>
      <c r="AX16" s="27" t="s">
        <v>3253</v>
      </c>
      <c r="AY16" s="27" t="s">
        <v>115</v>
      </c>
    </row>
    <row r="17" spans="1:51" x14ac:dyDescent="0.2">
      <c r="A17" s="24" t="s">
        <v>3254</v>
      </c>
      <c r="B17" s="24" t="s">
        <v>3255</v>
      </c>
      <c r="C17" s="24" t="s">
        <v>3256</v>
      </c>
      <c r="D17" s="24" t="s">
        <v>431</v>
      </c>
      <c r="E17" s="25">
        <v>275811908</v>
      </c>
      <c r="F17" s="25">
        <v>158058130</v>
      </c>
      <c r="G17" s="26">
        <v>268</v>
      </c>
      <c r="H17" s="26">
        <v>3</v>
      </c>
      <c r="I17" s="24" t="s">
        <v>1802</v>
      </c>
      <c r="J17" s="24" t="s">
        <v>89</v>
      </c>
      <c r="K17" s="24" t="s">
        <v>271</v>
      </c>
      <c r="L17" s="24" t="s">
        <v>272</v>
      </c>
      <c r="M17" s="24" t="s">
        <v>3257</v>
      </c>
      <c r="N17" s="26">
        <v>0</v>
      </c>
      <c r="O17" s="24" t="s">
        <v>3258</v>
      </c>
      <c r="P17" s="24" t="s">
        <v>317</v>
      </c>
      <c r="Q17" s="24" t="s">
        <v>3259</v>
      </c>
      <c r="R17" s="24" t="s">
        <v>3260</v>
      </c>
      <c r="S17" s="24" t="s">
        <v>3261</v>
      </c>
      <c r="T17" s="24" t="s">
        <v>31</v>
      </c>
      <c r="U17" s="24" t="s">
        <v>3262</v>
      </c>
      <c r="V17" s="24" t="s">
        <v>352</v>
      </c>
      <c r="W17" s="24" t="s">
        <v>3263</v>
      </c>
      <c r="X17" s="24" t="s">
        <v>100</v>
      </c>
      <c r="Y17" s="24" t="s">
        <v>352</v>
      </c>
      <c r="Z17" s="24" t="s">
        <v>3264</v>
      </c>
      <c r="AA17" s="24" t="s">
        <v>100</v>
      </c>
      <c r="AB17" s="24" t="s">
        <v>352</v>
      </c>
      <c r="AC17" s="24" t="s">
        <v>3265</v>
      </c>
      <c r="AD17" s="24" t="s">
        <v>100</v>
      </c>
      <c r="AE17" s="24" t="s">
        <v>352</v>
      </c>
      <c r="AF17" s="24" t="s">
        <v>3266</v>
      </c>
      <c r="AG17" s="24" t="s">
        <v>104</v>
      </c>
      <c r="AH17" s="24" t="s">
        <v>3267</v>
      </c>
      <c r="AI17" s="24" t="s">
        <v>3268</v>
      </c>
      <c r="AJ17" s="24" t="s">
        <v>3269</v>
      </c>
      <c r="AK17" s="24" t="s">
        <v>3270</v>
      </c>
      <c r="AL17" s="24" t="s">
        <v>237</v>
      </c>
      <c r="AM17" s="24"/>
      <c r="AN17" s="24"/>
      <c r="AO17" s="24" t="s">
        <v>3271</v>
      </c>
      <c r="AP17" s="24" t="s">
        <v>136</v>
      </c>
      <c r="AQ17" s="24"/>
      <c r="AR17" s="24"/>
      <c r="AS17" s="24"/>
      <c r="AT17" s="24"/>
      <c r="AU17" s="24"/>
      <c r="AV17" s="24"/>
      <c r="AW17" s="24" t="s">
        <v>3272</v>
      </c>
      <c r="AX17" s="24" t="s">
        <v>3273</v>
      </c>
      <c r="AY17" s="24" t="s">
        <v>115</v>
      </c>
    </row>
    <row r="18" spans="1:51" x14ac:dyDescent="0.2">
      <c r="A18" s="27" t="s">
        <v>3274</v>
      </c>
      <c r="B18" s="27" t="s">
        <v>3275</v>
      </c>
      <c r="C18" s="27" t="s">
        <v>3276</v>
      </c>
      <c r="D18" s="27" t="s">
        <v>431</v>
      </c>
      <c r="E18" s="28">
        <v>273411319</v>
      </c>
      <c r="F18" s="28">
        <v>44701834</v>
      </c>
      <c r="G18" s="29"/>
      <c r="H18" s="29">
        <v>598</v>
      </c>
      <c r="I18" s="27" t="s">
        <v>143</v>
      </c>
      <c r="J18" s="27" t="s">
        <v>89</v>
      </c>
      <c r="K18" s="27" t="s">
        <v>244</v>
      </c>
      <c r="L18" s="27" t="s">
        <v>245</v>
      </c>
      <c r="M18" s="27" t="s">
        <v>3277</v>
      </c>
      <c r="N18" s="29">
        <v>0</v>
      </c>
      <c r="O18" s="27" t="s">
        <v>3278</v>
      </c>
      <c r="P18" s="27" t="s">
        <v>1300</v>
      </c>
      <c r="Q18" s="27"/>
      <c r="R18" s="27" t="s">
        <v>3279</v>
      </c>
      <c r="S18" s="27" t="s">
        <v>3280</v>
      </c>
      <c r="T18" s="27" t="s">
        <v>31</v>
      </c>
      <c r="U18" s="27" t="s">
        <v>3281</v>
      </c>
      <c r="V18" s="27" t="s">
        <v>941</v>
      </c>
      <c r="W18" s="27" t="s">
        <v>3282</v>
      </c>
      <c r="X18" s="27" t="s">
        <v>104</v>
      </c>
      <c r="Y18" s="27"/>
      <c r="Z18" s="27"/>
      <c r="AA18" s="27"/>
      <c r="AB18" s="27"/>
      <c r="AC18" s="27"/>
      <c r="AD18" s="27"/>
      <c r="AE18" s="27"/>
      <c r="AF18" s="27"/>
      <c r="AG18" s="27"/>
      <c r="AH18" s="27" t="s">
        <v>3283</v>
      </c>
      <c r="AI18" s="27" t="s">
        <v>3284</v>
      </c>
      <c r="AJ18" s="27"/>
      <c r="AK18" s="27" t="s">
        <v>3285</v>
      </c>
      <c r="AL18" s="27" t="s">
        <v>163</v>
      </c>
      <c r="AM18" s="27" t="s">
        <v>98</v>
      </c>
      <c r="AN18" s="27" t="s">
        <v>3286</v>
      </c>
      <c r="AO18" s="27" t="s">
        <v>3287</v>
      </c>
      <c r="AP18" s="27" t="s">
        <v>136</v>
      </c>
      <c r="AQ18" s="27" t="s">
        <v>941</v>
      </c>
      <c r="AR18" s="27" t="s">
        <v>3288</v>
      </c>
      <c r="AS18" s="27" t="s">
        <v>3289</v>
      </c>
      <c r="AT18" s="27" t="s">
        <v>136</v>
      </c>
      <c r="AU18" s="27" t="s">
        <v>98</v>
      </c>
      <c r="AV18" s="27" t="s">
        <v>3290</v>
      </c>
      <c r="AW18" s="27" t="s">
        <v>3291</v>
      </c>
      <c r="AX18" s="27" t="s">
        <v>3292</v>
      </c>
      <c r="AY18" s="27" t="s">
        <v>115</v>
      </c>
    </row>
    <row r="19" spans="1:51" x14ac:dyDescent="0.2">
      <c r="A19" s="24" t="s">
        <v>3293</v>
      </c>
      <c r="B19" s="24" t="s">
        <v>3294</v>
      </c>
      <c r="C19" s="24"/>
      <c r="D19" s="24" t="s">
        <v>87</v>
      </c>
      <c r="E19" s="25">
        <v>265701015</v>
      </c>
      <c r="F19" s="25">
        <v>10000000</v>
      </c>
      <c r="G19" s="26">
        <v>19</v>
      </c>
      <c r="H19" s="26">
        <v>562</v>
      </c>
      <c r="I19" s="24" t="s">
        <v>143</v>
      </c>
      <c r="J19" s="24" t="s">
        <v>89</v>
      </c>
      <c r="K19" s="24" t="s">
        <v>90</v>
      </c>
      <c r="L19" s="24" t="s">
        <v>91</v>
      </c>
      <c r="M19" s="24" t="s">
        <v>3295</v>
      </c>
      <c r="N19" s="26">
        <v>3</v>
      </c>
      <c r="O19" s="24" t="s">
        <v>993</v>
      </c>
      <c r="P19" s="24" t="s">
        <v>3296</v>
      </c>
      <c r="Q19" s="24" t="s">
        <v>3297</v>
      </c>
      <c r="R19" s="24" t="s">
        <v>149</v>
      </c>
      <c r="S19" s="24" t="s">
        <v>3298</v>
      </c>
      <c r="T19" s="24" t="s">
        <v>21</v>
      </c>
      <c r="U19" s="24" t="s">
        <v>3299</v>
      </c>
      <c r="V19" s="24" t="s">
        <v>126</v>
      </c>
      <c r="W19" s="24" t="s">
        <v>3300</v>
      </c>
      <c r="X19" s="24" t="s">
        <v>104</v>
      </c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 t="s">
        <v>3301</v>
      </c>
      <c r="AL19" s="24" t="s">
        <v>109</v>
      </c>
      <c r="AM19" s="24"/>
      <c r="AN19" s="24"/>
      <c r="AO19" s="24" t="s">
        <v>3302</v>
      </c>
      <c r="AP19" s="24" t="s">
        <v>185</v>
      </c>
      <c r="AQ19" s="24"/>
      <c r="AR19" s="24"/>
      <c r="AS19" s="24"/>
      <c r="AT19" s="24"/>
      <c r="AU19" s="24"/>
      <c r="AV19" s="24"/>
      <c r="AW19" s="24"/>
      <c r="AX19" s="24" t="s">
        <v>3303</v>
      </c>
      <c r="AY19" s="24" t="s">
        <v>115</v>
      </c>
    </row>
    <row r="20" spans="1:51" x14ac:dyDescent="0.2">
      <c r="A20" s="27" t="s">
        <v>3304</v>
      </c>
      <c r="B20" s="27" t="s">
        <v>3305</v>
      </c>
      <c r="C20" s="27"/>
      <c r="D20" s="27" t="s">
        <v>87</v>
      </c>
      <c r="E20" s="28">
        <v>261170662</v>
      </c>
      <c r="F20" s="28">
        <v>10000000</v>
      </c>
      <c r="G20" s="29">
        <v>444</v>
      </c>
      <c r="H20" s="29">
        <v>847</v>
      </c>
      <c r="I20" s="27" t="s">
        <v>88</v>
      </c>
      <c r="J20" s="27" t="s">
        <v>89</v>
      </c>
      <c r="K20" s="27" t="s">
        <v>3306</v>
      </c>
      <c r="L20" s="27" t="s">
        <v>3307</v>
      </c>
      <c r="M20" s="27" t="s">
        <v>3308</v>
      </c>
      <c r="N20" s="29">
        <v>1</v>
      </c>
      <c r="O20" s="27" t="s">
        <v>3309</v>
      </c>
      <c r="P20" s="27" t="s">
        <v>1281</v>
      </c>
      <c r="Q20" s="27"/>
      <c r="R20" s="27" t="s">
        <v>3310</v>
      </c>
      <c r="S20" s="27" t="s">
        <v>3311</v>
      </c>
      <c r="T20" s="27" t="s">
        <v>29</v>
      </c>
      <c r="U20" s="27" t="s">
        <v>3312</v>
      </c>
      <c r="V20" s="27" t="s">
        <v>233</v>
      </c>
      <c r="W20" s="27" t="s">
        <v>3313</v>
      </c>
      <c r="X20" s="27" t="s">
        <v>100</v>
      </c>
      <c r="Y20" s="27" t="s">
        <v>233</v>
      </c>
      <c r="Z20" s="27" t="s">
        <v>3314</v>
      </c>
      <c r="AA20" s="27" t="s">
        <v>104</v>
      </c>
      <c r="AB20" s="27"/>
      <c r="AC20" s="27"/>
      <c r="AD20" s="27"/>
      <c r="AE20" s="27"/>
      <c r="AF20" s="27"/>
      <c r="AG20" s="27"/>
      <c r="AH20" s="27" t="s">
        <v>3315</v>
      </c>
      <c r="AI20" s="27" t="s">
        <v>3316</v>
      </c>
      <c r="AJ20" s="27" t="s">
        <v>3317</v>
      </c>
      <c r="AK20" s="27" t="s">
        <v>3318</v>
      </c>
      <c r="AL20" s="27" t="s">
        <v>109</v>
      </c>
      <c r="AM20" s="27"/>
      <c r="AN20" s="27"/>
      <c r="AO20" s="27" t="s">
        <v>3319</v>
      </c>
      <c r="AP20" s="27" t="s">
        <v>185</v>
      </c>
      <c r="AQ20" s="27" t="s">
        <v>233</v>
      </c>
      <c r="AR20" s="27" t="s">
        <v>3320</v>
      </c>
      <c r="AS20" s="27" t="s">
        <v>3321</v>
      </c>
      <c r="AT20" s="27" t="s">
        <v>109</v>
      </c>
      <c r="AU20" s="27" t="s">
        <v>233</v>
      </c>
      <c r="AV20" s="27" t="s">
        <v>3322</v>
      </c>
      <c r="AW20" s="27" t="s">
        <v>3323</v>
      </c>
      <c r="AX20" s="27" t="s">
        <v>3324</v>
      </c>
      <c r="AY20" s="27" t="s">
        <v>115</v>
      </c>
    </row>
    <row r="21" spans="1:51" x14ac:dyDescent="0.2">
      <c r="A21" s="24" t="s">
        <v>3325</v>
      </c>
      <c r="B21" s="24" t="s">
        <v>3326</v>
      </c>
      <c r="C21" s="24"/>
      <c r="D21" s="24" t="s">
        <v>431</v>
      </c>
      <c r="E21" s="25">
        <v>252582726</v>
      </c>
      <c r="F21" s="25">
        <v>3200000</v>
      </c>
      <c r="G21" s="26">
        <v>126</v>
      </c>
      <c r="H21" s="26">
        <v>281</v>
      </c>
      <c r="I21" s="24" t="s">
        <v>270</v>
      </c>
      <c r="J21" s="24" t="s">
        <v>89</v>
      </c>
      <c r="K21" s="24" t="s">
        <v>271</v>
      </c>
      <c r="L21" s="24" t="s">
        <v>272</v>
      </c>
      <c r="M21" s="24" t="s">
        <v>3327</v>
      </c>
      <c r="N21" s="26">
        <v>0</v>
      </c>
      <c r="O21" s="24" t="s">
        <v>3328</v>
      </c>
      <c r="P21" s="24" t="s">
        <v>3329</v>
      </c>
      <c r="Q21" s="24"/>
      <c r="R21" s="24" t="s">
        <v>3330</v>
      </c>
      <c r="S21" s="24" t="s">
        <v>342</v>
      </c>
      <c r="T21" s="24" t="s">
        <v>31</v>
      </c>
      <c r="U21" s="24" t="s">
        <v>3331</v>
      </c>
      <c r="V21" s="24" t="s">
        <v>98</v>
      </c>
      <c r="W21" s="24" t="s">
        <v>3332</v>
      </c>
      <c r="X21" s="24" t="s">
        <v>100</v>
      </c>
      <c r="Y21" s="24" t="s">
        <v>98</v>
      </c>
      <c r="Z21" s="24" t="s">
        <v>3333</v>
      </c>
      <c r="AA21" s="24" t="s">
        <v>100</v>
      </c>
      <c r="AB21" s="24" t="s">
        <v>98</v>
      </c>
      <c r="AC21" s="24" t="s">
        <v>3334</v>
      </c>
      <c r="AD21" s="24" t="s">
        <v>100</v>
      </c>
      <c r="AE21" s="24" t="s">
        <v>98</v>
      </c>
      <c r="AF21" s="24" t="s">
        <v>3335</v>
      </c>
      <c r="AG21" s="24" t="s">
        <v>104</v>
      </c>
      <c r="AH21" s="24" t="s">
        <v>3336</v>
      </c>
      <c r="AI21" s="24" t="s">
        <v>3337</v>
      </c>
      <c r="AJ21" s="24" t="s">
        <v>3338</v>
      </c>
      <c r="AK21" s="24" t="s">
        <v>3339</v>
      </c>
      <c r="AL21" s="24" t="s">
        <v>163</v>
      </c>
      <c r="AM21" s="24" t="s">
        <v>98</v>
      </c>
      <c r="AN21" s="24" t="s">
        <v>3340</v>
      </c>
      <c r="AO21" s="24" t="s">
        <v>3341</v>
      </c>
      <c r="AP21" s="24" t="s">
        <v>163</v>
      </c>
      <c r="AQ21" s="24" t="s">
        <v>98</v>
      </c>
      <c r="AR21" s="24" t="s">
        <v>3340</v>
      </c>
      <c r="AS21" s="24" t="s">
        <v>3342</v>
      </c>
      <c r="AT21" s="24" t="s">
        <v>136</v>
      </c>
      <c r="AU21" s="24" t="s">
        <v>98</v>
      </c>
      <c r="AV21" s="24" t="s">
        <v>3343</v>
      </c>
      <c r="AW21" s="24" t="s">
        <v>3344</v>
      </c>
      <c r="AX21" s="24" t="s">
        <v>3345</v>
      </c>
      <c r="AY21" s="24" t="s">
        <v>115</v>
      </c>
    </row>
    <row r="22" spans="1:51" x14ac:dyDescent="0.2">
      <c r="A22" s="27" t="s">
        <v>3346</v>
      </c>
      <c r="B22" s="27" t="s">
        <v>3347</v>
      </c>
      <c r="C22" s="27" t="s">
        <v>3348</v>
      </c>
      <c r="D22" s="27" t="s">
        <v>87</v>
      </c>
      <c r="E22" s="28">
        <v>233353942</v>
      </c>
      <c r="F22" s="28">
        <v>2000000</v>
      </c>
      <c r="G22" s="29">
        <v>751</v>
      </c>
      <c r="H22" s="29">
        <v>489</v>
      </c>
      <c r="I22" s="27" t="s">
        <v>219</v>
      </c>
      <c r="J22" s="27" t="s">
        <v>89</v>
      </c>
      <c r="K22" s="27" t="s">
        <v>407</v>
      </c>
      <c r="L22" s="27" t="s">
        <v>408</v>
      </c>
      <c r="M22" s="27" t="s">
        <v>3349</v>
      </c>
      <c r="N22" s="29">
        <v>3</v>
      </c>
      <c r="O22" s="27" t="s">
        <v>3350</v>
      </c>
      <c r="P22" s="27" t="s">
        <v>3351</v>
      </c>
      <c r="Q22" s="27"/>
      <c r="R22" s="27" t="s">
        <v>149</v>
      </c>
      <c r="S22" s="27" t="s">
        <v>3352</v>
      </c>
      <c r="T22" s="27" t="s">
        <v>31</v>
      </c>
      <c r="U22" s="27" t="s">
        <v>3353</v>
      </c>
      <c r="V22" s="27" t="s">
        <v>1021</v>
      </c>
      <c r="W22" s="27" t="s">
        <v>3354</v>
      </c>
      <c r="X22" s="27" t="s">
        <v>100</v>
      </c>
      <c r="Y22" s="27" t="s">
        <v>1021</v>
      </c>
      <c r="Z22" s="27" t="s">
        <v>3355</v>
      </c>
      <c r="AA22" s="27" t="s">
        <v>100</v>
      </c>
      <c r="AB22" s="27" t="s">
        <v>1021</v>
      </c>
      <c r="AC22" s="27" t="s">
        <v>3356</v>
      </c>
      <c r="AD22" s="27" t="s">
        <v>104</v>
      </c>
      <c r="AE22" s="27"/>
      <c r="AF22" s="27"/>
      <c r="AG22" s="27"/>
      <c r="AH22" s="27" t="s">
        <v>3357</v>
      </c>
      <c r="AI22" s="27" t="s">
        <v>3358</v>
      </c>
      <c r="AJ22" s="27" t="s">
        <v>3359</v>
      </c>
      <c r="AK22" s="27" t="s">
        <v>3360</v>
      </c>
      <c r="AL22" s="27" t="s">
        <v>237</v>
      </c>
      <c r="AM22" s="27"/>
      <c r="AN22" s="27"/>
      <c r="AO22" s="27" t="s">
        <v>3361</v>
      </c>
      <c r="AP22" s="27" t="s">
        <v>136</v>
      </c>
      <c r="AQ22" s="27" t="s">
        <v>352</v>
      </c>
      <c r="AR22" s="27" t="s">
        <v>3362</v>
      </c>
      <c r="AS22" s="27"/>
      <c r="AT22" s="27"/>
      <c r="AU22" s="27"/>
      <c r="AV22" s="27"/>
      <c r="AW22" s="27" t="s">
        <v>3363</v>
      </c>
      <c r="AX22" s="27" t="s">
        <v>3364</v>
      </c>
      <c r="AY22" s="27" t="s">
        <v>115</v>
      </c>
    </row>
    <row r="23" spans="1:51" x14ac:dyDescent="0.2">
      <c r="A23" s="24" t="s">
        <v>3365</v>
      </c>
      <c r="B23" s="24" t="s">
        <v>3366</v>
      </c>
      <c r="C23" s="24"/>
      <c r="D23" s="24" t="s">
        <v>87</v>
      </c>
      <c r="E23" s="25">
        <v>223725732</v>
      </c>
      <c r="F23" s="25">
        <v>750000</v>
      </c>
      <c r="G23" s="26">
        <v>21</v>
      </c>
      <c r="H23" s="26">
        <v>503</v>
      </c>
      <c r="I23" s="24" t="s">
        <v>143</v>
      </c>
      <c r="J23" s="24" t="s">
        <v>89</v>
      </c>
      <c r="K23" s="24" t="s">
        <v>90</v>
      </c>
      <c r="L23" s="24" t="s">
        <v>91</v>
      </c>
      <c r="M23" s="24" t="s">
        <v>3367</v>
      </c>
      <c r="N23" s="26">
        <v>4</v>
      </c>
      <c r="O23" s="24" t="s">
        <v>3368</v>
      </c>
      <c r="P23" s="24" t="s">
        <v>411</v>
      </c>
      <c r="Q23" s="24" t="s">
        <v>3369</v>
      </c>
      <c r="R23" s="24" t="s">
        <v>3370</v>
      </c>
      <c r="S23" s="24" t="s">
        <v>3371</v>
      </c>
      <c r="T23" s="24" t="s">
        <v>31</v>
      </c>
      <c r="U23" s="24" t="s">
        <v>3372</v>
      </c>
      <c r="V23" s="24" t="s">
        <v>3047</v>
      </c>
      <c r="W23" s="24" t="s">
        <v>3373</v>
      </c>
      <c r="X23" s="24" t="s">
        <v>100</v>
      </c>
      <c r="Y23" s="24" t="s">
        <v>3047</v>
      </c>
      <c r="Z23" s="24" t="s">
        <v>3374</v>
      </c>
      <c r="AA23" s="24" t="s">
        <v>100</v>
      </c>
      <c r="AB23" s="24" t="s">
        <v>3047</v>
      </c>
      <c r="AC23" s="24" t="s">
        <v>3375</v>
      </c>
      <c r="AD23" s="24" t="s">
        <v>100</v>
      </c>
      <c r="AE23" s="24" t="s">
        <v>352</v>
      </c>
      <c r="AF23" s="24" t="s">
        <v>3376</v>
      </c>
      <c r="AG23" s="24" t="s">
        <v>104</v>
      </c>
      <c r="AH23" s="24" t="s">
        <v>3377</v>
      </c>
      <c r="AI23" s="24" t="s">
        <v>3378</v>
      </c>
      <c r="AJ23" s="24" t="s">
        <v>3379</v>
      </c>
      <c r="AK23" s="24" t="s">
        <v>3380</v>
      </c>
      <c r="AL23" s="24" t="s">
        <v>163</v>
      </c>
      <c r="AM23" s="24" t="s">
        <v>352</v>
      </c>
      <c r="AN23" s="24" t="s">
        <v>3381</v>
      </c>
      <c r="AO23" s="24" t="s">
        <v>3382</v>
      </c>
      <c r="AP23" s="24" t="s">
        <v>136</v>
      </c>
      <c r="AQ23" s="24" t="s">
        <v>98</v>
      </c>
      <c r="AR23" s="24" t="s">
        <v>3383</v>
      </c>
      <c r="AS23" s="24"/>
      <c r="AT23" s="24"/>
      <c r="AU23" s="24"/>
      <c r="AV23" s="24"/>
      <c r="AW23" s="24" t="s">
        <v>3384</v>
      </c>
      <c r="AX23" s="24" t="s">
        <v>3385</v>
      </c>
      <c r="AY23" s="24" t="s">
        <v>115</v>
      </c>
    </row>
    <row r="24" spans="1:51" x14ac:dyDescent="0.2">
      <c r="A24" s="27" t="s">
        <v>3386</v>
      </c>
      <c r="B24" s="27" t="s">
        <v>3387</v>
      </c>
      <c r="C24" s="27"/>
      <c r="D24" s="27" t="s">
        <v>87</v>
      </c>
      <c r="E24" s="28">
        <v>213158406</v>
      </c>
      <c r="F24" s="28">
        <v>4696062</v>
      </c>
      <c r="G24" s="29">
        <v>377</v>
      </c>
      <c r="H24" s="29">
        <v>839</v>
      </c>
      <c r="I24" s="27" t="s">
        <v>88</v>
      </c>
      <c r="J24" s="27" t="s">
        <v>89</v>
      </c>
      <c r="K24" s="27" t="s">
        <v>144</v>
      </c>
      <c r="L24" s="27" t="s">
        <v>145</v>
      </c>
      <c r="M24" s="27" t="s">
        <v>3388</v>
      </c>
      <c r="N24" s="29">
        <v>2</v>
      </c>
      <c r="O24" s="27" t="s">
        <v>3389</v>
      </c>
      <c r="P24" s="27" t="s">
        <v>3390</v>
      </c>
      <c r="Q24" s="27" t="s">
        <v>3391</v>
      </c>
      <c r="R24" s="27" t="s">
        <v>3392</v>
      </c>
      <c r="S24" s="27" t="s">
        <v>3393</v>
      </c>
      <c r="T24" s="27" t="s">
        <v>29</v>
      </c>
      <c r="U24" s="27" t="s">
        <v>3394</v>
      </c>
      <c r="V24" s="27" t="s">
        <v>233</v>
      </c>
      <c r="W24" s="27" t="s">
        <v>3395</v>
      </c>
      <c r="X24" s="27" t="s">
        <v>100</v>
      </c>
      <c r="Y24" s="27" t="s">
        <v>233</v>
      </c>
      <c r="Z24" s="27" t="s">
        <v>3396</v>
      </c>
      <c r="AA24" s="27" t="s">
        <v>100</v>
      </c>
      <c r="AB24" s="27" t="s">
        <v>233</v>
      </c>
      <c r="AC24" s="27" t="s">
        <v>3397</v>
      </c>
      <c r="AD24" s="27" t="s">
        <v>100</v>
      </c>
      <c r="AE24" s="27" t="s">
        <v>233</v>
      </c>
      <c r="AF24" s="27" t="s">
        <v>3398</v>
      </c>
      <c r="AG24" s="27" t="s">
        <v>104</v>
      </c>
      <c r="AH24" s="27" t="s">
        <v>3399</v>
      </c>
      <c r="AI24" s="27" t="s">
        <v>3400</v>
      </c>
      <c r="AJ24" s="27" t="s">
        <v>3401</v>
      </c>
      <c r="AK24" s="27" t="s">
        <v>3402</v>
      </c>
      <c r="AL24" s="27" t="s">
        <v>109</v>
      </c>
      <c r="AM24" s="27" t="s">
        <v>233</v>
      </c>
      <c r="AN24" s="27" t="s">
        <v>3403</v>
      </c>
      <c r="AO24" s="27" t="s">
        <v>3404</v>
      </c>
      <c r="AP24" s="27" t="s">
        <v>109</v>
      </c>
      <c r="AQ24" s="27"/>
      <c r="AR24" s="27"/>
      <c r="AS24" s="27" t="s">
        <v>3405</v>
      </c>
      <c r="AT24" s="27" t="s">
        <v>109</v>
      </c>
      <c r="AU24" s="27" t="s">
        <v>233</v>
      </c>
      <c r="AV24" s="27" t="s">
        <v>3406</v>
      </c>
      <c r="AW24" s="27" t="s">
        <v>3407</v>
      </c>
      <c r="AX24" s="27" t="s">
        <v>3408</v>
      </c>
      <c r="AY24" s="27" t="s">
        <v>290</v>
      </c>
    </row>
    <row r="25" spans="1:51" x14ac:dyDescent="0.2">
      <c r="A25" s="24" t="s">
        <v>3409</v>
      </c>
      <c r="B25" s="24" t="s">
        <v>3410</v>
      </c>
      <c r="C25" s="24"/>
      <c r="D25" s="24" t="s">
        <v>431</v>
      </c>
      <c r="E25" s="25">
        <v>204860906</v>
      </c>
      <c r="F25" s="25">
        <v>209595110</v>
      </c>
      <c r="G25" s="26">
        <v>225</v>
      </c>
      <c r="H25" s="26">
        <v>283</v>
      </c>
      <c r="I25" s="24" t="s">
        <v>270</v>
      </c>
      <c r="J25" s="24" t="s">
        <v>89</v>
      </c>
      <c r="K25" s="24" t="s">
        <v>336</v>
      </c>
      <c r="L25" s="24" t="s">
        <v>337</v>
      </c>
      <c r="M25" s="24" t="s">
        <v>3411</v>
      </c>
      <c r="N25" s="26">
        <v>2</v>
      </c>
      <c r="O25" s="24"/>
      <c r="P25" s="24"/>
      <c r="Q25" s="24" t="s">
        <v>3412</v>
      </c>
      <c r="R25" s="24" t="s">
        <v>3413</v>
      </c>
      <c r="S25" s="24" t="s">
        <v>3414</v>
      </c>
      <c r="T25" s="24" t="s">
        <v>29</v>
      </c>
      <c r="U25" s="24" t="s">
        <v>3415</v>
      </c>
      <c r="V25" s="24" t="s">
        <v>233</v>
      </c>
      <c r="W25" s="24" t="s">
        <v>3416</v>
      </c>
      <c r="X25" s="24" t="s">
        <v>100</v>
      </c>
      <c r="Y25" s="24" t="s">
        <v>233</v>
      </c>
      <c r="Z25" s="24" t="s">
        <v>3417</v>
      </c>
      <c r="AA25" s="24" t="s">
        <v>100</v>
      </c>
      <c r="AB25" s="24" t="s">
        <v>233</v>
      </c>
      <c r="AC25" s="24" t="s">
        <v>3418</v>
      </c>
      <c r="AD25" s="24" t="s">
        <v>100</v>
      </c>
      <c r="AE25" s="24" t="s">
        <v>233</v>
      </c>
      <c r="AF25" s="24" t="s">
        <v>3419</v>
      </c>
      <c r="AG25" s="24" t="s">
        <v>104</v>
      </c>
      <c r="AH25" s="24" t="s">
        <v>3420</v>
      </c>
      <c r="AI25" s="24" t="s">
        <v>3421</v>
      </c>
      <c r="AJ25" s="24" t="s">
        <v>3422</v>
      </c>
      <c r="AK25" s="24" t="s">
        <v>3423</v>
      </c>
      <c r="AL25" s="24" t="s">
        <v>163</v>
      </c>
      <c r="AM25" s="24" t="s">
        <v>98</v>
      </c>
      <c r="AN25" s="24" t="s">
        <v>3424</v>
      </c>
      <c r="AO25" s="24" t="s">
        <v>3425</v>
      </c>
      <c r="AP25" s="24" t="s">
        <v>237</v>
      </c>
      <c r="AQ25" s="24"/>
      <c r="AR25" s="24"/>
      <c r="AS25" s="24" t="s">
        <v>3426</v>
      </c>
      <c r="AT25" s="24" t="s">
        <v>136</v>
      </c>
      <c r="AU25" s="24" t="s">
        <v>98</v>
      </c>
      <c r="AV25" s="24" t="s">
        <v>3427</v>
      </c>
      <c r="AW25" s="24" t="s">
        <v>3428</v>
      </c>
      <c r="AX25" s="24" t="s">
        <v>3429</v>
      </c>
      <c r="AY25" s="24" t="s">
        <v>115</v>
      </c>
    </row>
    <row r="26" spans="1:51" x14ac:dyDescent="0.2">
      <c r="A26" s="27" t="s">
        <v>3430</v>
      </c>
      <c r="B26" s="27" t="s">
        <v>3431</v>
      </c>
      <c r="C26" s="27" t="s">
        <v>3432</v>
      </c>
      <c r="D26" s="27" t="s">
        <v>87</v>
      </c>
      <c r="E26" s="28">
        <v>201313578</v>
      </c>
      <c r="F26" s="28">
        <v>9900000</v>
      </c>
      <c r="G26" s="29">
        <v>1059</v>
      </c>
      <c r="H26" s="29">
        <v>360</v>
      </c>
      <c r="I26" s="27" t="s">
        <v>219</v>
      </c>
      <c r="J26" s="27" t="s">
        <v>89</v>
      </c>
      <c r="K26" s="27" t="s">
        <v>144</v>
      </c>
      <c r="L26" s="27" t="s">
        <v>145</v>
      </c>
      <c r="M26" s="27" t="s">
        <v>3433</v>
      </c>
      <c r="N26" s="29">
        <v>4</v>
      </c>
      <c r="O26" s="27" t="s">
        <v>3434</v>
      </c>
      <c r="P26" s="27"/>
      <c r="Q26" s="27" t="s">
        <v>3435</v>
      </c>
      <c r="R26" s="27" t="s">
        <v>3436</v>
      </c>
      <c r="S26" s="27" t="s">
        <v>3437</v>
      </c>
      <c r="T26" s="27" t="s">
        <v>28</v>
      </c>
      <c r="U26" s="27" t="s">
        <v>3438</v>
      </c>
      <c r="V26" s="27" t="s">
        <v>1587</v>
      </c>
      <c r="W26" s="27" t="s">
        <v>3439</v>
      </c>
      <c r="X26" s="27" t="s">
        <v>100</v>
      </c>
      <c r="Y26" s="27" t="s">
        <v>1587</v>
      </c>
      <c r="Z26" s="27" t="s">
        <v>3440</v>
      </c>
      <c r="AA26" s="27" t="s">
        <v>100</v>
      </c>
      <c r="AB26" s="27" t="s">
        <v>1587</v>
      </c>
      <c r="AC26" s="27" t="s">
        <v>3441</v>
      </c>
      <c r="AD26" s="27" t="s">
        <v>100</v>
      </c>
      <c r="AE26" s="27" t="s">
        <v>1587</v>
      </c>
      <c r="AF26" s="27" t="s">
        <v>3442</v>
      </c>
      <c r="AG26" s="27" t="s">
        <v>104</v>
      </c>
      <c r="AH26" s="27" t="s">
        <v>3443</v>
      </c>
      <c r="AI26" s="27" t="s">
        <v>3444</v>
      </c>
      <c r="AJ26" s="27" t="s">
        <v>3445</v>
      </c>
      <c r="AK26" s="27" t="s">
        <v>3446</v>
      </c>
      <c r="AL26" s="27" t="s">
        <v>163</v>
      </c>
      <c r="AM26" s="27" t="s">
        <v>933</v>
      </c>
      <c r="AN26" s="27" t="s">
        <v>3447</v>
      </c>
      <c r="AO26" s="27" t="s">
        <v>3448</v>
      </c>
      <c r="AP26" s="27" t="s">
        <v>163</v>
      </c>
      <c r="AQ26" s="27" t="s">
        <v>933</v>
      </c>
      <c r="AR26" s="27" t="s">
        <v>3447</v>
      </c>
      <c r="AS26" s="27" t="s">
        <v>3449</v>
      </c>
      <c r="AT26" s="27" t="s">
        <v>163</v>
      </c>
      <c r="AU26" s="27" t="s">
        <v>933</v>
      </c>
      <c r="AV26" s="27" t="s">
        <v>3447</v>
      </c>
      <c r="AW26" s="27" t="s">
        <v>3450</v>
      </c>
      <c r="AX26" s="27" t="s">
        <v>3451</v>
      </c>
      <c r="AY26" s="27" t="s">
        <v>115</v>
      </c>
    </row>
    <row r="27" spans="1:51" x14ac:dyDescent="0.2">
      <c r="A27" s="24" t="s">
        <v>3452</v>
      </c>
      <c r="B27" s="24" t="s">
        <v>3453</v>
      </c>
      <c r="C27" s="24" t="s">
        <v>3454</v>
      </c>
      <c r="D27" s="24" t="s">
        <v>87</v>
      </c>
      <c r="E27" s="25">
        <v>195914696</v>
      </c>
      <c r="F27" s="25">
        <v>20567412</v>
      </c>
      <c r="G27" s="26">
        <v>87</v>
      </c>
      <c r="H27" s="26">
        <v>408</v>
      </c>
      <c r="I27" s="24" t="s">
        <v>219</v>
      </c>
      <c r="J27" s="24" t="s">
        <v>89</v>
      </c>
      <c r="K27" s="24" t="s">
        <v>90</v>
      </c>
      <c r="L27" s="24" t="s">
        <v>91</v>
      </c>
      <c r="M27" s="24" t="s">
        <v>3455</v>
      </c>
      <c r="N27" s="26">
        <v>5</v>
      </c>
      <c r="O27" s="24" t="s">
        <v>3456</v>
      </c>
      <c r="P27" s="24" t="s">
        <v>3457</v>
      </c>
      <c r="Q27" s="24"/>
      <c r="R27" s="24" t="s">
        <v>3458</v>
      </c>
      <c r="S27" s="24" t="s">
        <v>3129</v>
      </c>
      <c r="T27" s="24" t="s">
        <v>31</v>
      </c>
      <c r="U27" s="24" t="s">
        <v>3459</v>
      </c>
      <c r="V27" s="24" t="s">
        <v>792</v>
      </c>
      <c r="W27" s="24" t="s">
        <v>3460</v>
      </c>
      <c r="X27" s="24" t="s">
        <v>100</v>
      </c>
      <c r="Y27" s="24" t="s">
        <v>792</v>
      </c>
      <c r="Z27" s="24" t="s">
        <v>3461</v>
      </c>
      <c r="AA27" s="24" t="s">
        <v>100</v>
      </c>
      <c r="AB27" s="24" t="s">
        <v>941</v>
      </c>
      <c r="AC27" s="24" t="s">
        <v>3462</v>
      </c>
      <c r="AD27" s="24" t="s">
        <v>100</v>
      </c>
      <c r="AE27" s="24" t="s">
        <v>98</v>
      </c>
      <c r="AF27" s="24" t="s">
        <v>3463</v>
      </c>
      <c r="AG27" s="24" t="s">
        <v>104</v>
      </c>
      <c r="AH27" s="24" t="s">
        <v>3464</v>
      </c>
      <c r="AI27" s="24" t="s">
        <v>3465</v>
      </c>
      <c r="AJ27" s="24" t="s">
        <v>3466</v>
      </c>
      <c r="AK27" s="24" t="s">
        <v>3467</v>
      </c>
      <c r="AL27" s="24" t="s">
        <v>163</v>
      </c>
      <c r="AM27" s="24" t="s">
        <v>792</v>
      </c>
      <c r="AN27" s="24" t="s">
        <v>3468</v>
      </c>
      <c r="AO27" s="24" t="s">
        <v>3469</v>
      </c>
      <c r="AP27" s="24" t="s">
        <v>163</v>
      </c>
      <c r="AQ27" s="24" t="s">
        <v>98</v>
      </c>
      <c r="AR27" s="24" t="s">
        <v>3470</v>
      </c>
      <c r="AS27" s="24" t="s">
        <v>3471</v>
      </c>
      <c r="AT27" s="24" t="s">
        <v>163</v>
      </c>
      <c r="AU27" s="24" t="s">
        <v>98</v>
      </c>
      <c r="AV27" s="24" t="s">
        <v>3472</v>
      </c>
      <c r="AW27" s="24" t="s">
        <v>3473</v>
      </c>
      <c r="AX27" s="24" t="s">
        <v>3474</v>
      </c>
      <c r="AY27" s="24" t="s">
        <v>115</v>
      </c>
    </row>
    <row r="28" spans="1:51" x14ac:dyDescent="0.2">
      <c r="A28" s="27" t="s">
        <v>3475</v>
      </c>
      <c r="B28" s="27" t="s">
        <v>3476</v>
      </c>
      <c r="C28" s="27"/>
      <c r="D28" s="27" t="s">
        <v>87</v>
      </c>
      <c r="E28" s="28">
        <v>192681657</v>
      </c>
      <c r="F28" s="28">
        <v>6501000</v>
      </c>
      <c r="G28" s="29">
        <v>273</v>
      </c>
      <c r="H28" s="29">
        <v>465</v>
      </c>
      <c r="I28" s="27" t="s">
        <v>219</v>
      </c>
      <c r="J28" s="27" t="s">
        <v>89</v>
      </c>
      <c r="K28" s="27" t="s">
        <v>90</v>
      </c>
      <c r="L28" s="27" t="s">
        <v>91</v>
      </c>
      <c r="M28" s="27" t="s">
        <v>3477</v>
      </c>
      <c r="N28" s="29">
        <v>4</v>
      </c>
      <c r="O28" s="27" t="s">
        <v>3478</v>
      </c>
      <c r="P28" s="27" t="s">
        <v>3479</v>
      </c>
      <c r="Q28" s="27"/>
      <c r="R28" s="27" t="s">
        <v>3480</v>
      </c>
      <c r="S28" s="27" t="s">
        <v>96</v>
      </c>
      <c r="T28" s="27" t="s">
        <v>31</v>
      </c>
      <c r="U28" s="27" t="s">
        <v>3481</v>
      </c>
      <c r="V28" s="27" t="s">
        <v>98</v>
      </c>
      <c r="W28" s="27" t="s">
        <v>3482</v>
      </c>
      <c r="X28" s="27" t="s">
        <v>100</v>
      </c>
      <c r="Y28" s="27" t="s">
        <v>98</v>
      </c>
      <c r="Z28" s="27" t="s">
        <v>3483</v>
      </c>
      <c r="AA28" s="27" t="s">
        <v>100</v>
      </c>
      <c r="AB28" s="27" t="s">
        <v>98</v>
      </c>
      <c r="AC28" s="27" t="s">
        <v>3484</v>
      </c>
      <c r="AD28" s="27" t="s">
        <v>100</v>
      </c>
      <c r="AE28" s="27" t="s">
        <v>98</v>
      </c>
      <c r="AF28" s="27" t="s">
        <v>3485</v>
      </c>
      <c r="AG28" s="27" t="s">
        <v>104</v>
      </c>
      <c r="AH28" s="27" t="s">
        <v>3486</v>
      </c>
      <c r="AI28" s="27" t="s">
        <v>3487</v>
      </c>
      <c r="AJ28" s="27" t="s">
        <v>3488</v>
      </c>
      <c r="AK28" s="27" t="s">
        <v>3489</v>
      </c>
      <c r="AL28" s="27" t="s">
        <v>163</v>
      </c>
      <c r="AM28" s="27" t="s">
        <v>98</v>
      </c>
      <c r="AN28" s="27" t="s">
        <v>3490</v>
      </c>
      <c r="AO28" s="27" t="s">
        <v>3491</v>
      </c>
      <c r="AP28" s="27" t="s">
        <v>286</v>
      </c>
      <c r="AQ28" s="27"/>
      <c r="AR28" s="27"/>
      <c r="AS28" s="27"/>
      <c r="AT28" s="27"/>
      <c r="AU28" s="27"/>
      <c r="AV28" s="27"/>
      <c r="AW28" s="27" t="s">
        <v>3492</v>
      </c>
      <c r="AX28" s="27" t="s">
        <v>3493</v>
      </c>
      <c r="AY28" s="27" t="s">
        <v>115</v>
      </c>
    </row>
    <row r="29" spans="1:51" x14ac:dyDescent="0.2">
      <c r="A29" s="24" t="s">
        <v>3494</v>
      </c>
      <c r="B29" s="24" t="s">
        <v>3495</v>
      </c>
      <c r="C29" s="24"/>
      <c r="D29" s="24" t="s">
        <v>87</v>
      </c>
      <c r="E29" s="25">
        <v>185103941</v>
      </c>
      <c r="F29" s="25">
        <v>5100000</v>
      </c>
      <c r="G29" s="26">
        <v>329</v>
      </c>
      <c r="H29" s="26">
        <v>184</v>
      </c>
      <c r="I29" s="24" t="s">
        <v>270</v>
      </c>
      <c r="J29" s="24" t="s">
        <v>89</v>
      </c>
      <c r="K29" s="24" t="s">
        <v>3496</v>
      </c>
      <c r="L29" s="24" t="s">
        <v>3497</v>
      </c>
      <c r="M29" s="24" t="s">
        <v>3498</v>
      </c>
      <c r="N29" s="26">
        <v>10</v>
      </c>
      <c r="O29" s="24" t="s">
        <v>3499</v>
      </c>
      <c r="P29" s="24" t="s">
        <v>3500</v>
      </c>
      <c r="Q29" s="24" t="s">
        <v>3501</v>
      </c>
      <c r="R29" s="24" t="s">
        <v>3502</v>
      </c>
      <c r="S29" s="24" t="s">
        <v>437</v>
      </c>
      <c r="T29" s="24" t="s">
        <v>27</v>
      </c>
      <c r="U29" s="24" t="s">
        <v>3503</v>
      </c>
      <c r="V29" s="24" t="s">
        <v>439</v>
      </c>
      <c r="W29" s="24" t="s">
        <v>3504</v>
      </c>
      <c r="X29" s="24" t="s">
        <v>100</v>
      </c>
      <c r="Y29" s="24" t="s">
        <v>439</v>
      </c>
      <c r="Z29" s="24" t="s">
        <v>3505</v>
      </c>
      <c r="AA29" s="24" t="s">
        <v>100</v>
      </c>
      <c r="AB29" s="24" t="s">
        <v>439</v>
      </c>
      <c r="AC29" s="24" t="s">
        <v>3506</v>
      </c>
      <c r="AD29" s="24" t="s">
        <v>100</v>
      </c>
      <c r="AE29" s="24" t="s">
        <v>439</v>
      </c>
      <c r="AF29" s="24" t="s">
        <v>3507</v>
      </c>
      <c r="AG29" s="24" t="s">
        <v>104</v>
      </c>
      <c r="AH29" s="24" t="s">
        <v>3508</v>
      </c>
      <c r="AI29" s="24" t="s">
        <v>3509</v>
      </c>
      <c r="AJ29" s="24" t="s">
        <v>3510</v>
      </c>
      <c r="AK29" s="24" t="s">
        <v>3511</v>
      </c>
      <c r="AL29" s="24" t="s">
        <v>136</v>
      </c>
      <c r="AM29" s="24" t="s">
        <v>252</v>
      </c>
      <c r="AN29" s="24" t="s">
        <v>3512</v>
      </c>
      <c r="AO29" s="24" t="s">
        <v>3513</v>
      </c>
      <c r="AP29" s="24" t="s">
        <v>163</v>
      </c>
      <c r="AQ29" s="24" t="s">
        <v>252</v>
      </c>
      <c r="AR29" s="24" t="s">
        <v>3514</v>
      </c>
      <c r="AS29" s="24"/>
      <c r="AT29" s="24"/>
      <c r="AU29" s="24"/>
      <c r="AV29" s="24"/>
      <c r="AW29" s="24" t="s">
        <v>3515</v>
      </c>
      <c r="AX29" s="24" t="s">
        <v>3516</v>
      </c>
      <c r="AY29" s="24" t="s">
        <v>290</v>
      </c>
    </row>
    <row r="30" spans="1:51" x14ac:dyDescent="0.2">
      <c r="A30" s="27" t="s">
        <v>3517</v>
      </c>
      <c r="B30" s="27" t="s">
        <v>3518</v>
      </c>
      <c r="C30" s="27" t="s">
        <v>3519</v>
      </c>
      <c r="D30" s="27" t="s">
        <v>87</v>
      </c>
      <c r="E30" s="28">
        <v>180913377</v>
      </c>
      <c r="F30" s="28">
        <v>2241659</v>
      </c>
      <c r="G30" s="29">
        <v>38</v>
      </c>
      <c r="H30" s="29">
        <v>888</v>
      </c>
      <c r="I30" s="27" t="s">
        <v>88</v>
      </c>
      <c r="J30" s="27" t="s">
        <v>89</v>
      </c>
      <c r="K30" s="27" t="s">
        <v>294</v>
      </c>
      <c r="L30" s="27" t="s">
        <v>295</v>
      </c>
      <c r="M30" s="27" t="s">
        <v>3520</v>
      </c>
      <c r="N30" s="29">
        <v>9</v>
      </c>
      <c r="O30" s="27" t="s">
        <v>3521</v>
      </c>
      <c r="P30" s="27" t="s">
        <v>3522</v>
      </c>
      <c r="Q30" s="27" t="s">
        <v>3523</v>
      </c>
      <c r="R30" s="27" t="s">
        <v>1018</v>
      </c>
      <c r="S30" s="27" t="s">
        <v>2402</v>
      </c>
      <c r="T30" s="27" t="s">
        <v>31</v>
      </c>
      <c r="U30" s="27" t="s">
        <v>2403</v>
      </c>
      <c r="V30" s="27" t="s">
        <v>352</v>
      </c>
      <c r="W30" s="27" t="s">
        <v>3524</v>
      </c>
      <c r="X30" s="27" t="s">
        <v>100</v>
      </c>
      <c r="Y30" s="27" t="s">
        <v>352</v>
      </c>
      <c r="Z30" s="27" t="s">
        <v>3525</v>
      </c>
      <c r="AA30" s="27" t="s">
        <v>100</v>
      </c>
      <c r="AB30" s="27" t="s">
        <v>352</v>
      </c>
      <c r="AC30" s="27" t="s">
        <v>3526</v>
      </c>
      <c r="AD30" s="27" t="s">
        <v>100</v>
      </c>
      <c r="AE30" s="27" t="s">
        <v>352</v>
      </c>
      <c r="AF30" s="27" t="s">
        <v>3527</v>
      </c>
      <c r="AG30" s="27" t="s">
        <v>104</v>
      </c>
      <c r="AH30" s="27" t="s">
        <v>3528</v>
      </c>
      <c r="AI30" s="27" t="s">
        <v>3529</v>
      </c>
      <c r="AJ30" s="27" t="s">
        <v>3530</v>
      </c>
      <c r="AK30" s="27" t="s">
        <v>3531</v>
      </c>
      <c r="AL30" s="27" t="s">
        <v>133</v>
      </c>
      <c r="AM30" s="27" t="s">
        <v>352</v>
      </c>
      <c r="AN30" s="27" t="s">
        <v>3532</v>
      </c>
      <c r="AO30" s="27"/>
      <c r="AP30" s="27"/>
      <c r="AQ30" s="27"/>
      <c r="AR30" s="27"/>
      <c r="AS30" s="27"/>
      <c r="AT30" s="27"/>
      <c r="AU30" s="27"/>
      <c r="AV30" s="27"/>
      <c r="AW30" s="27" t="s">
        <v>3533</v>
      </c>
      <c r="AX30" s="27" t="s">
        <v>3534</v>
      </c>
      <c r="AY30" s="27" t="s">
        <v>115</v>
      </c>
    </row>
    <row r="31" spans="1:51" x14ac:dyDescent="0.2">
      <c r="A31" s="24" t="s">
        <v>3535</v>
      </c>
      <c r="B31" s="24" t="s">
        <v>3536</v>
      </c>
      <c r="C31" s="24" t="s">
        <v>3537</v>
      </c>
      <c r="D31" s="24" t="s">
        <v>431</v>
      </c>
      <c r="E31" s="25">
        <v>174036777</v>
      </c>
      <c r="F31" s="25">
        <v>126459990</v>
      </c>
      <c r="G31" s="26">
        <v>111</v>
      </c>
      <c r="H31" s="26">
        <v>274</v>
      </c>
      <c r="I31" s="24" t="s">
        <v>270</v>
      </c>
      <c r="J31" s="24" t="s">
        <v>89</v>
      </c>
      <c r="K31" s="24" t="s">
        <v>1601</v>
      </c>
      <c r="L31" s="24" t="s">
        <v>1602</v>
      </c>
      <c r="M31" s="24" t="s">
        <v>3538</v>
      </c>
      <c r="N31" s="26">
        <v>1</v>
      </c>
      <c r="O31" s="24" t="s">
        <v>3539</v>
      </c>
      <c r="P31" s="24" t="s">
        <v>3540</v>
      </c>
      <c r="Q31" s="24" t="s">
        <v>3541</v>
      </c>
      <c r="R31" s="24" t="s">
        <v>3542</v>
      </c>
      <c r="S31" s="24" t="s">
        <v>511</v>
      </c>
      <c r="T31" s="24" t="s">
        <v>27</v>
      </c>
      <c r="U31" s="24" t="s">
        <v>3543</v>
      </c>
      <c r="V31" s="24" t="s">
        <v>439</v>
      </c>
      <c r="W31" s="24" t="s">
        <v>3544</v>
      </c>
      <c r="X31" s="24" t="s">
        <v>100</v>
      </c>
      <c r="Y31" s="24" t="s">
        <v>439</v>
      </c>
      <c r="Z31" s="24" t="s">
        <v>3545</v>
      </c>
      <c r="AA31" s="24" t="s">
        <v>100</v>
      </c>
      <c r="AB31" s="24" t="s">
        <v>439</v>
      </c>
      <c r="AC31" s="24" t="s">
        <v>3546</v>
      </c>
      <c r="AD31" s="24" t="s">
        <v>100</v>
      </c>
      <c r="AE31" s="24" t="s">
        <v>229</v>
      </c>
      <c r="AF31" s="24" t="s">
        <v>3547</v>
      </c>
      <c r="AG31" s="24" t="s">
        <v>104</v>
      </c>
      <c r="AH31" s="24" t="s">
        <v>3548</v>
      </c>
      <c r="AI31" s="24" t="s">
        <v>3549</v>
      </c>
      <c r="AJ31" s="24" t="s">
        <v>3550</v>
      </c>
      <c r="AK31" s="24" t="s">
        <v>3551</v>
      </c>
      <c r="AL31" s="24" t="s">
        <v>237</v>
      </c>
      <c r="AM31" s="24"/>
      <c r="AN31" s="24"/>
      <c r="AO31" s="24" t="s">
        <v>3552</v>
      </c>
      <c r="AP31" s="24" t="s">
        <v>237</v>
      </c>
      <c r="AQ31" s="24"/>
      <c r="AR31" s="24"/>
      <c r="AS31" s="24" t="s">
        <v>3553</v>
      </c>
      <c r="AT31" s="24" t="s">
        <v>136</v>
      </c>
      <c r="AU31" s="24" t="s">
        <v>439</v>
      </c>
      <c r="AV31" s="24" t="s">
        <v>3554</v>
      </c>
      <c r="AW31" s="24" t="s">
        <v>3555</v>
      </c>
      <c r="AX31" s="24" t="s">
        <v>3556</v>
      </c>
      <c r="AY31" s="24" t="s">
        <v>115</v>
      </c>
    </row>
    <row r="32" spans="1:51" x14ac:dyDescent="0.2">
      <c r="A32" s="27" t="s">
        <v>3557</v>
      </c>
      <c r="B32" s="27" t="s">
        <v>3558</v>
      </c>
      <c r="C32" s="27" t="s">
        <v>3559</v>
      </c>
      <c r="D32" s="27" t="s">
        <v>87</v>
      </c>
      <c r="E32" s="28">
        <v>167212716</v>
      </c>
      <c r="F32" s="28">
        <v>824000</v>
      </c>
      <c r="G32" s="29">
        <v>3</v>
      </c>
      <c r="H32" s="29">
        <v>120</v>
      </c>
      <c r="I32" s="27" t="s">
        <v>1802</v>
      </c>
      <c r="J32" s="27" t="s">
        <v>89</v>
      </c>
      <c r="K32" s="27" t="s">
        <v>407</v>
      </c>
      <c r="L32" s="27" t="s">
        <v>408</v>
      </c>
      <c r="M32" s="27" t="s">
        <v>3560</v>
      </c>
      <c r="N32" s="29">
        <v>4</v>
      </c>
      <c r="O32" s="27" t="s">
        <v>3561</v>
      </c>
      <c r="P32" s="27"/>
      <c r="Q32" s="27" t="s">
        <v>3562</v>
      </c>
      <c r="R32" s="27" t="s">
        <v>1081</v>
      </c>
      <c r="S32" s="27" t="s">
        <v>3563</v>
      </c>
      <c r="T32" s="27" t="s">
        <v>20</v>
      </c>
      <c r="U32" s="27" t="s">
        <v>3564</v>
      </c>
      <c r="V32" s="27" t="s">
        <v>229</v>
      </c>
      <c r="W32" s="27" t="s">
        <v>3565</v>
      </c>
      <c r="X32" s="27" t="s">
        <v>100</v>
      </c>
      <c r="Y32" s="27" t="s">
        <v>1084</v>
      </c>
      <c r="Z32" s="27" t="s">
        <v>3566</v>
      </c>
      <c r="AA32" s="27" t="s">
        <v>104</v>
      </c>
      <c r="AB32" s="27"/>
      <c r="AC32" s="27"/>
      <c r="AD32" s="27"/>
      <c r="AE32" s="27"/>
      <c r="AF32" s="27"/>
      <c r="AG32" s="27"/>
      <c r="AH32" s="27" t="s">
        <v>3567</v>
      </c>
      <c r="AI32" s="27" t="s">
        <v>3568</v>
      </c>
      <c r="AJ32" s="27"/>
      <c r="AK32" s="27" t="s">
        <v>3569</v>
      </c>
      <c r="AL32" s="27" t="s">
        <v>133</v>
      </c>
      <c r="AM32" s="27"/>
      <c r="AN32" s="27"/>
      <c r="AO32" s="27" t="s">
        <v>3570</v>
      </c>
      <c r="AP32" s="27" t="s">
        <v>109</v>
      </c>
      <c r="AQ32" s="27" t="s">
        <v>1084</v>
      </c>
      <c r="AR32" s="27" t="s">
        <v>3571</v>
      </c>
      <c r="AS32" s="27"/>
      <c r="AT32" s="27"/>
      <c r="AU32" s="27"/>
      <c r="AV32" s="27"/>
      <c r="AW32" s="27" t="s">
        <v>3572</v>
      </c>
      <c r="AX32" s="27" t="s">
        <v>3573</v>
      </c>
      <c r="AY32" s="27" t="s">
        <v>290</v>
      </c>
    </row>
    <row r="33" spans="1:51" x14ac:dyDescent="0.2">
      <c r="A33" s="24" t="s">
        <v>3574</v>
      </c>
      <c r="B33" s="24" t="s">
        <v>3575</v>
      </c>
      <c r="C33" s="24"/>
      <c r="D33" s="24" t="s">
        <v>87</v>
      </c>
      <c r="E33" s="25">
        <v>161521320</v>
      </c>
      <c r="F33" s="25">
        <v>140912087</v>
      </c>
      <c r="G33" s="26">
        <v>553</v>
      </c>
      <c r="H33" s="26">
        <v>961</v>
      </c>
      <c r="I33" s="24" t="s">
        <v>88</v>
      </c>
      <c r="J33" s="24" t="s">
        <v>89</v>
      </c>
      <c r="K33" s="24" t="s">
        <v>90</v>
      </c>
      <c r="L33" s="24" t="s">
        <v>91</v>
      </c>
      <c r="M33" s="24" t="s">
        <v>3576</v>
      </c>
      <c r="N33" s="26">
        <v>6</v>
      </c>
      <c r="O33" s="24" t="s">
        <v>3577</v>
      </c>
      <c r="P33" s="24" t="s">
        <v>3578</v>
      </c>
      <c r="Q33" s="24"/>
      <c r="R33" s="24" t="s">
        <v>2106</v>
      </c>
      <c r="S33" s="24" t="s">
        <v>3579</v>
      </c>
      <c r="T33" s="24" t="s">
        <v>21</v>
      </c>
      <c r="U33" s="24" t="s">
        <v>3580</v>
      </c>
      <c r="V33" s="24" t="s">
        <v>1232</v>
      </c>
      <c r="W33" s="24" t="s">
        <v>3581</v>
      </c>
      <c r="X33" s="24" t="s">
        <v>104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 t="s">
        <v>3582</v>
      </c>
      <c r="AI33" s="24" t="s">
        <v>3583</v>
      </c>
      <c r="AJ33" s="24" t="s">
        <v>3584</v>
      </c>
      <c r="AK33" s="24" t="s">
        <v>3585</v>
      </c>
      <c r="AL33" s="24" t="s">
        <v>286</v>
      </c>
      <c r="AM33" s="24" t="s">
        <v>1328</v>
      </c>
      <c r="AN33" s="24" t="s">
        <v>3586</v>
      </c>
      <c r="AO33" s="24"/>
      <c r="AP33" s="24"/>
      <c r="AQ33" s="24"/>
      <c r="AR33" s="24"/>
      <c r="AS33" s="24"/>
      <c r="AT33" s="24"/>
      <c r="AU33" s="24"/>
      <c r="AV33" s="24"/>
      <c r="AW33" s="24" t="s">
        <v>3587</v>
      </c>
      <c r="AX33" s="24" t="s">
        <v>3588</v>
      </c>
      <c r="AY33" s="24" t="s">
        <v>115</v>
      </c>
    </row>
    <row r="34" spans="1:51" x14ac:dyDescent="0.2">
      <c r="A34" s="27" t="s">
        <v>3589</v>
      </c>
      <c r="B34" s="27" t="s">
        <v>3590</v>
      </c>
      <c r="C34" s="27" t="s">
        <v>3591</v>
      </c>
      <c r="D34" s="27" t="s">
        <v>87</v>
      </c>
      <c r="E34" s="28">
        <v>159815621</v>
      </c>
      <c r="F34" s="28">
        <v>65000000</v>
      </c>
      <c r="G34" s="29">
        <v>163</v>
      </c>
      <c r="H34" s="29">
        <v>805</v>
      </c>
      <c r="I34" s="27" t="s">
        <v>88</v>
      </c>
      <c r="J34" s="27" t="s">
        <v>89</v>
      </c>
      <c r="K34" s="27" t="s">
        <v>90</v>
      </c>
      <c r="L34" s="27" t="s">
        <v>91</v>
      </c>
      <c r="M34" s="27" t="s">
        <v>3592</v>
      </c>
      <c r="N34" s="29">
        <v>9</v>
      </c>
      <c r="O34" s="27" t="s">
        <v>3593</v>
      </c>
      <c r="P34" s="27" t="s">
        <v>3594</v>
      </c>
      <c r="Q34" s="27" t="s">
        <v>3595</v>
      </c>
      <c r="R34" s="27" t="s">
        <v>3596</v>
      </c>
      <c r="S34" s="27" t="s">
        <v>342</v>
      </c>
      <c r="T34" s="27" t="s">
        <v>31</v>
      </c>
      <c r="U34" s="27" t="s">
        <v>3597</v>
      </c>
      <c r="V34" s="27" t="s">
        <v>126</v>
      </c>
      <c r="W34" s="27" t="s">
        <v>3598</v>
      </c>
      <c r="X34" s="27" t="s">
        <v>100</v>
      </c>
      <c r="Y34" s="27" t="s">
        <v>213</v>
      </c>
      <c r="Z34" s="27" t="s">
        <v>3599</v>
      </c>
      <c r="AA34" s="27" t="s">
        <v>100</v>
      </c>
      <c r="AB34" s="27" t="s">
        <v>213</v>
      </c>
      <c r="AC34" s="27" t="s">
        <v>3600</v>
      </c>
      <c r="AD34" s="27" t="s">
        <v>100</v>
      </c>
      <c r="AE34" s="27" t="s">
        <v>98</v>
      </c>
      <c r="AF34" s="27" t="s">
        <v>3601</v>
      </c>
      <c r="AG34" s="27" t="s">
        <v>104</v>
      </c>
      <c r="AH34" s="27" t="s">
        <v>3602</v>
      </c>
      <c r="AI34" s="27"/>
      <c r="AJ34" s="27"/>
      <c r="AK34" s="27" t="s">
        <v>3603</v>
      </c>
      <c r="AL34" s="27" t="s">
        <v>109</v>
      </c>
      <c r="AM34" s="27"/>
      <c r="AN34" s="27"/>
      <c r="AO34" s="27" t="s">
        <v>3604</v>
      </c>
      <c r="AP34" s="27" t="s">
        <v>185</v>
      </c>
      <c r="AQ34" s="27" t="s">
        <v>98</v>
      </c>
      <c r="AR34" s="27" t="s">
        <v>3605</v>
      </c>
      <c r="AS34" s="27"/>
      <c r="AT34" s="27"/>
      <c r="AU34" s="27"/>
      <c r="AV34" s="27"/>
      <c r="AW34" s="27" t="s">
        <v>3606</v>
      </c>
      <c r="AX34" s="27" t="s">
        <v>3607</v>
      </c>
      <c r="AY34" s="27" t="s">
        <v>115</v>
      </c>
    </row>
    <row r="35" spans="1:51" x14ac:dyDescent="0.2">
      <c r="A35" s="24" t="s">
        <v>3608</v>
      </c>
      <c r="B35" s="24" t="s">
        <v>3609</v>
      </c>
      <c r="C35" s="24" t="s">
        <v>3610</v>
      </c>
      <c r="D35" s="24" t="s">
        <v>87</v>
      </c>
      <c r="E35" s="25">
        <v>152566609</v>
      </c>
      <c r="F35" s="25">
        <v>24000000</v>
      </c>
      <c r="G35" s="26">
        <v>34</v>
      </c>
      <c r="H35" s="26">
        <v>939</v>
      </c>
      <c r="I35" s="24" t="s">
        <v>88</v>
      </c>
      <c r="J35" s="24" t="s">
        <v>89</v>
      </c>
      <c r="K35" s="24" t="s">
        <v>90</v>
      </c>
      <c r="L35" s="24" t="s">
        <v>91</v>
      </c>
      <c r="M35" s="24" t="s">
        <v>3611</v>
      </c>
      <c r="N35" s="26">
        <v>11</v>
      </c>
      <c r="O35" s="24" t="s">
        <v>3612</v>
      </c>
      <c r="P35" s="24" t="s">
        <v>3613</v>
      </c>
      <c r="Q35" s="24"/>
      <c r="R35" s="24" t="s">
        <v>3614</v>
      </c>
      <c r="S35" s="24" t="s">
        <v>3615</v>
      </c>
      <c r="T35" s="24" t="s">
        <v>21</v>
      </c>
      <c r="U35" s="24" t="s">
        <v>3616</v>
      </c>
      <c r="V35" s="24" t="s">
        <v>749</v>
      </c>
      <c r="W35" s="24" t="s">
        <v>3617</v>
      </c>
      <c r="X35" s="24" t="s">
        <v>100</v>
      </c>
      <c r="Y35" s="24" t="s">
        <v>749</v>
      </c>
      <c r="Z35" s="24" t="s">
        <v>3618</v>
      </c>
      <c r="AA35" s="24" t="s">
        <v>100</v>
      </c>
      <c r="AB35" s="24" t="s">
        <v>749</v>
      </c>
      <c r="AC35" s="24" t="s">
        <v>3619</v>
      </c>
      <c r="AD35" s="24" t="s">
        <v>100</v>
      </c>
      <c r="AE35" s="24" t="s">
        <v>749</v>
      </c>
      <c r="AF35" s="24" t="s">
        <v>3620</v>
      </c>
      <c r="AG35" s="24" t="s">
        <v>104</v>
      </c>
      <c r="AH35" s="24" t="s">
        <v>3621</v>
      </c>
      <c r="AI35" s="24" t="s">
        <v>3622</v>
      </c>
      <c r="AJ35" s="24" t="s">
        <v>3623</v>
      </c>
      <c r="AK35" s="24" t="s">
        <v>3624</v>
      </c>
      <c r="AL35" s="24" t="s">
        <v>133</v>
      </c>
      <c r="AM35" s="24" t="s">
        <v>749</v>
      </c>
      <c r="AN35" s="24" t="s">
        <v>3625</v>
      </c>
      <c r="AO35" s="24" t="s">
        <v>3626</v>
      </c>
      <c r="AP35" s="24" t="s">
        <v>163</v>
      </c>
      <c r="AQ35" s="24" t="s">
        <v>749</v>
      </c>
      <c r="AR35" s="24" t="s">
        <v>3627</v>
      </c>
      <c r="AS35" s="24"/>
      <c r="AT35" s="24"/>
      <c r="AU35" s="24"/>
      <c r="AV35" s="24"/>
      <c r="AW35" s="24" t="s">
        <v>3628</v>
      </c>
      <c r="AX35" s="24" t="s">
        <v>3629</v>
      </c>
      <c r="AY35" s="24" t="s">
        <v>115</v>
      </c>
    </row>
    <row r="36" spans="1:51" x14ac:dyDescent="0.2">
      <c r="A36" s="27" t="s">
        <v>3630</v>
      </c>
      <c r="B36" s="27" t="s">
        <v>3631</v>
      </c>
      <c r="C36" s="27" t="s">
        <v>3632</v>
      </c>
      <c r="D36" s="27" t="s">
        <v>87</v>
      </c>
      <c r="E36" s="28">
        <v>149668478</v>
      </c>
      <c r="F36" s="28">
        <v>139227450</v>
      </c>
      <c r="G36" s="29">
        <v>119</v>
      </c>
      <c r="H36" s="29">
        <v>926</v>
      </c>
      <c r="I36" s="27" t="s">
        <v>88</v>
      </c>
      <c r="J36" s="27" t="s">
        <v>89</v>
      </c>
      <c r="K36" s="27" t="s">
        <v>144</v>
      </c>
      <c r="L36" s="27" t="s">
        <v>145</v>
      </c>
      <c r="M36" s="27" t="s">
        <v>3633</v>
      </c>
      <c r="N36" s="29">
        <v>18</v>
      </c>
      <c r="O36" s="27" t="s">
        <v>3634</v>
      </c>
      <c r="P36" s="27" t="s">
        <v>3635</v>
      </c>
      <c r="Q36" s="27"/>
      <c r="R36" s="27" t="s">
        <v>149</v>
      </c>
      <c r="S36" s="27" t="s">
        <v>3636</v>
      </c>
      <c r="T36" s="27" t="s">
        <v>28</v>
      </c>
      <c r="U36" s="27" t="s">
        <v>3637</v>
      </c>
      <c r="V36" s="27" t="s">
        <v>394</v>
      </c>
      <c r="W36" s="27" t="s">
        <v>3638</v>
      </c>
      <c r="X36" s="27" t="s">
        <v>100</v>
      </c>
      <c r="Y36" s="27" t="s">
        <v>394</v>
      </c>
      <c r="Z36" s="27" t="s">
        <v>3639</v>
      </c>
      <c r="AA36" s="27" t="s">
        <v>100</v>
      </c>
      <c r="AB36" s="27" t="s">
        <v>394</v>
      </c>
      <c r="AC36" s="27" t="s">
        <v>3640</v>
      </c>
      <c r="AD36" s="27" t="s">
        <v>100</v>
      </c>
      <c r="AE36" s="27" t="s">
        <v>394</v>
      </c>
      <c r="AF36" s="27" t="s">
        <v>3641</v>
      </c>
      <c r="AG36" s="27" t="s">
        <v>104</v>
      </c>
      <c r="AH36" s="27" t="s">
        <v>3642</v>
      </c>
      <c r="AI36" s="27" t="s">
        <v>3643</v>
      </c>
      <c r="AJ36" s="27" t="s">
        <v>3644</v>
      </c>
      <c r="AK36" s="27" t="s">
        <v>3645</v>
      </c>
      <c r="AL36" s="27" t="s">
        <v>185</v>
      </c>
      <c r="AM36" s="27" t="s">
        <v>98</v>
      </c>
      <c r="AN36" s="27" t="s">
        <v>3646</v>
      </c>
      <c r="AO36" s="27" t="s">
        <v>3647</v>
      </c>
      <c r="AP36" s="27" t="s">
        <v>109</v>
      </c>
      <c r="AQ36" s="27" t="s">
        <v>439</v>
      </c>
      <c r="AR36" s="27" t="s">
        <v>3648</v>
      </c>
      <c r="AS36" s="27" t="s">
        <v>3649</v>
      </c>
      <c r="AT36" s="27" t="s">
        <v>109</v>
      </c>
      <c r="AU36" s="27" t="s">
        <v>394</v>
      </c>
      <c r="AV36" s="27" t="s">
        <v>3650</v>
      </c>
      <c r="AW36" s="27" t="s">
        <v>3651</v>
      </c>
      <c r="AX36" s="27" t="s">
        <v>3652</v>
      </c>
      <c r="AY36" s="27" t="s">
        <v>290</v>
      </c>
    </row>
    <row r="37" spans="1:51" x14ac:dyDescent="0.2">
      <c r="A37" s="24" t="s">
        <v>3653</v>
      </c>
      <c r="B37" s="24" t="s">
        <v>3654</v>
      </c>
      <c r="C37" s="24" t="s">
        <v>3655</v>
      </c>
      <c r="D37" s="24" t="s">
        <v>431</v>
      </c>
      <c r="E37" s="25">
        <v>144310488</v>
      </c>
      <c r="F37" s="25">
        <v>55000000</v>
      </c>
      <c r="G37" s="26">
        <v>174</v>
      </c>
      <c r="H37" s="26">
        <v>655</v>
      </c>
      <c r="I37" s="24" t="s">
        <v>143</v>
      </c>
      <c r="J37" s="24" t="s">
        <v>89</v>
      </c>
      <c r="K37" s="24" t="s">
        <v>118</v>
      </c>
      <c r="L37" s="24" t="s">
        <v>119</v>
      </c>
      <c r="M37" s="24" t="s">
        <v>3656</v>
      </c>
      <c r="N37" s="26">
        <v>4</v>
      </c>
      <c r="O37" s="24" t="s">
        <v>3657</v>
      </c>
      <c r="P37" s="24" t="s">
        <v>3658</v>
      </c>
      <c r="Q37" s="24"/>
      <c r="R37" s="24" t="s">
        <v>3044</v>
      </c>
      <c r="S37" s="24" t="s">
        <v>3045</v>
      </c>
      <c r="T37" s="24" t="s">
        <v>15</v>
      </c>
      <c r="U37" s="24" t="s">
        <v>3659</v>
      </c>
      <c r="V37" s="24" t="s">
        <v>3047</v>
      </c>
      <c r="W37" s="24" t="s">
        <v>3660</v>
      </c>
      <c r="X37" s="24" t="s">
        <v>104</v>
      </c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 t="s">
        <v>3661</v>
      </c>
      <c r="AL37" s="24" t="s">
        <v>163</v>
      </c>
      <c r="AM37" s="24" t="s">
        <v>3047</v>
      </c>
      <c r="AN37" s="24" t="s">
        <v>3662</v>
      </c>
      <c r="AO37" s="24" t="s">
        <v>3663</v>
      </c>
      <c r="AP37" s="24" t="s">
        <v>163</v>
      </c>
      <c r="AQ37" s="24" t="s">
        <v>3047</v>
      </c>
      <c r="AR37" s="24" t="s">
        <v>3662</v>
      </c>
      <c r="AS37" s="24" t="s">
        <v>3664</v>
      </c>
      <c r="AT37" s="24" t="s">
        <v>136</v>
      </c>
      <c r="AU37" s="24" t="s">
        <v>3047</v>
      </c>
      <c r="AV37" s="24" t="s">
        <v>3665</v>
      </c>
      <c r="AW37" s="24" t="s">
        <v>3666</v>
      </c>
      <c r="AX37" s="24" t="s">
        <v>3667</v>
      </c>
      <c r="AY37" s="24" t="s">
        <v>115</v>
      </c>
    </row>
    <row r="38" spans="1:51" x14ac:dyDescent="0.2">
      <c r="A38" s="27" t="s">
        <v>3668</v>
      </c>
      <c r="B38" s="27" t="s">
        <v>3669</v>
      </c>
      <c r="C38" s="27" t="s">
        <v>3669</v>
      </c>
      <c r="D38" s="27" t="s">
        <v>431</v>
      </c>
      <c r="E38" s="28">
        <v>136027390</v>
      </c>
      <c r="F38" s="28">
        <v>474853656</v>
      </c>
      <c r="G38" s="29">
        <v>307</v>
      </c>
      <c r="H38" s="29">
        <v>628</v>
      </c>
      <c r="I38" s="27" t="s">
        <v>143</v>
      </c>
      <c r="J38" s="27" t="s">
        <v>89</v>
      </c>
      <c r="K38" s="27" t="s">
        <v>220</v>
      </c>
      <c r="L38" s="27" t="s">
        <v>221</v>
      </c>
      <c r="M38" s="27" t="s">
        <v>3670</v>
      </c>
      <c r="N38" s="29">
        <v>2</v>
      </c>
      <c r="O38" s="27" t="s">
        <v>3671</v>
      </c>
      <c r="P38" s="27" t="s">
        <v>2523</v>
      </c>
      <c r="Q38" s="27" t="s">
        <v>3672</v>
      </c>
      <c r="R38" s="27" t="s">
        <v>149</v>
      </c>
      <c r="S38" s="27" t="s">
        <v>437</v>
      </c>
      <c r="T38" s="27" t="s">
        <v>27</v>
      </c>
      <c r="U38" s="27" t="s">
        <v>3673</v>
      </c>
      <c r="V38" s="27" t="s">
        <v>439</v>
      </c>
      <c r="W38" s="27" t="s">
        <v>3674</v>
      </c>
      <c r="X38" s="27" t="s">
        <v>104</v>
      </c>
      <c r="Y38" s="27"/>
      <c r="Z38" s="27"/>
      <c r="AA38" s="27"/>
      <c r="AB38" s="27"/>
      <c r="AC38" s="27"/>
      <c r="AD38" s="27"/>
      <c r="AE38" s="27"/>
      <c r="AF38" s="27"/>
      <c r="AG38" s="27"/>
      <c r="AH38" s="27" t="s">
        <v>3675</v>
      </c>
      <c r="AI38" s="27" t="s">
        <v>3676</v>
      </c>
      <c r="AJ38" s="27" t="s">
        <v>3677</v>
      </c>
      <c r="AK38" s="27" t="s">
        <v>3678</v>
      </c>
      <c r="AL38" s="27" t="s">
        <v>136</v>
      </c>
      <c r="AM38" s="27" t="s">
        <v>439</v>
      </c>
      <c r="AN38" s="27" t="s">
        <v>3679</v>
      </c>
      <c r="AO38" s="27" t="s">
        <v>3680</v>
      </c>
      <c r="AP38" s="27" t="s">
        <v>136</v>
      </c>
      <c r="AQ38" s="27" t="s">
        <v>489</v>
      </c>
      <c r="AR38" s="27" t="s">
        <v>3681</v>
      </c>
      <c r="AS38" s="27" t="s">
        <v>3682</v>
      </c>
      <c r="AT38" s="27" t="s">
        <v>237</v>
      </c>
      <c r="AU38" s="27"/>
      <c r="AV38" s="27"/>
      <c r="AW38" s="27" t="s">
        <v>3683</v>
      </c>
      <c r="AX38" s="27" t="s">
        <v>3684</v>
      </c>
      <c r="AY38" s="27" t="s">
        <v>115</v>
      </c>
    </row>
    <row r="39" spans="1:51" x14ac:dyDescent="0.2">
      <c r="A39" s="24" t="s">
        <v>3685</v>
      </c>
      <c r="B39" s="24" t="s">
        <v>3686</v>
      </c>
      <c r="C39" s="24" t="s">
        <v>3687</v>
      </c>
      <c r="D39" s="24" t="s">
        <v>431</v>
      </c>
      <c r="E39" s="25">
        <v>133505740</v>
      </c>
      <c r="F39" s="25">
        <v>14695346</v>
      </c>
      <c r="G39" s="26">
        <v>263</v>
      </c>
      <c r="H39" s="26">
        <v>714</v>
      </c>
      <c r="I39" s="24" t="s">
        <v>88</v>
      </c>
      <c r="J39" s="24" t="s">
        <v>89</v>
      </c>
      <c r="K39" s="24" t="s">
        <v>90</v>
      </c>
      <c r="L39" s="24" t="s">
        <v>91</v>
      </c>
      <c r="M39" s="24" t="s">
        <v>3688</v>
      </c>
      <c r="N39" s="26">
        <v>5</v>
      </c>
      <c r="O39" s="24" t="s">
        <v>3689</v>
      </c>
      <c r="P39" s="24" t="s">
        <v>3690</v>
      </c>
      <c r="Q39" s="24"/>
      <c r="R39" s="24" t="s">
        <v>3691</v>
      </c>
      <c r="S39" s="24" t="s">
        <v>931</v>
      </c>
      <c r="T39" s="24" t="s">
        <v>26</v>
      </c>
      <c r="U39" s="24" t="s">
        <v>3692</v>
      </c>
      <c r="V39" s="24" t="s">
        <v>933</v>
      </c>
      <c r="W39" s="24" t="s">
        <v>3693</v>
      </c>
      <c r="X39" s="24" t="s">
        <v>104</v>
      </c>
      <c r="Y39" s="24" t="s">
        <v>933</v>
      </c>
      <c r="Z39" s="24" t="s">
        <v>3694</v>
      </c>
      <c r="AA39" s="24" t="s">
        <v>100</v>
      </c>
      <c r="AB39" s="24" t="s">
        <v>933</v>
      </c>
      <c r="AC39" s="24" t="s">
        <v>3695</v>
      </c>
      <c r="AD39" s="24" t="s">
        <v>100</v>
      </c>
      <c r="AE39" s="24" t="s">
        <v>933</v>
      </c>
      <c r="AF39" s="24" t="s">
        <v>3696</v>
      </c>
      <c r="AG39" s="24" t="s">
        <v>100</v>
      </c>
      <c r="AH39" s="24" t="s">
        <v>3697</v>
      </c>
      <c r="AI39" s="24" t="s">
        <v>3698</v>
      </c>
      <c r="AJ39" s="24"/>
      <c r="AK39" s="24" t="s">
        <v>3699</v>
      </c>
      <c r="AL39" s="24" t="s">
        <v>133</v>
      </c>
      <c r="AM39" s="24" t="s">
        <v>933</v>
      </c>
      <c r="AN39" s="24" t="s">
        <v>3700</v>
      </c>
      <c r="AO39" s="24"/>
      <c r="AP39" s="24"/>
      <c r="AQ39" s="24"/>
      <c r="AR39" s="24"/>
      <c r="AS39" s="24"/>
      <c r="AT39" s="24"/>
      <c r="AU39" s="24"/>
      <c r="AV39" s="24"/>
      <c r="AW39" s="24" t="s">
        <v>3701</v>
      </c>
      <c r="AX39" s="24" t="s">
        <v>3702</v>
      </c>
      <c r="AY39" s="24" t="s">
        <v>115</v>
      </c>
    </row>
    <row r="40" spans="1:51" x14ac:dyDescent="0.2">
      <c r="A40" s="27" t="s">
        <v>3703</v>
      </c>
      <c r="B40" s="27" t="s">
        <v>3704</v>
      </c>
      <c r="C40" s="27"/>
      <c r="D40" s="27" t="s">
        <v>87</v>
      </c>
      <c r="E40" s="28">
        <v>128293022</v>
      </c>
      <c r="F40" s="28">
        <v>24900001</v>
      </c>
      <c r="G40" s="29">
        <v>98</v>
      </c>
      <c r="H40" s="29">
        <v>685</v>
      </c>
      <c r="I40" s="27" t="s">
        <v>143</v>
      </c>
      <c r="J40" s="27" t="s">
        <v>89</v>
      </c>
      <c r="K40" s="27" t="s">
        <v>90</v>
      </c>
      <c r="L40" s="27" t="s">
        <v>91</v>
      </c>
      <c r="M40" s="27" t="s">
        <v>3705</v>
      </c>
      <c r="N40" s="29">
        <v>9</v>
      </c>
      <c r="O40" s="27" t="s">
        <v>3706</v>
      </c>
      <c r="P40" s="27" t="s">
        <v>1208</v>
      </c>
      <c r="Q40" s="27"/>
      <c r="R40" s="27" t="s">
        <v>3707</v>
      </c>
      <c r="S40" s="27" t="s">
        <v>3708</v>
      </c>
      <c r="T40" s="27" t="s">
        <v>31</v>
      </c>
      <c r="U40" s="27" t="s">
        <v>3709</v>
      </c>
      <c r="V40" s="27" t="s">
        <v>98</v>
      </c>
      <c r="W40" s="27" t="s">
        <v>3710</v>
      </c>
      <c r="X40" s="27" t="s">
        <v>100</v>
      </c>
      <c r="Y40" s="27" t="s">
        <v>394</v>
      </c>
      <c r="Z40" s="27" t="s">
        <v>3711</v>
      </c>
      <c r="AA40" s="27" t="s">
        <v>100</v>
      </c>
      <c r="AB40" s="27" t="s">
        <v>1587</v>
      </c>
      <c r="AC40" s="27" t="s">
        <v>3712</v>
      </c>
      <c r="AD40" s="27" t="s">
        <v>100</v>
      </c>
      <c r="AE40" s="27" t="s">
        <v>98</v>
      </c>
      <c r="AF40" s="27" t="s">
        <v>3713</v>
      </c>
      <c r="AG40" s="27" t="s">
        <v>104</v>
      </c>
      <c r="AH40" s="27" t="s">
        <v>3714</v>
      </c>
      <c r="AI40" s="27" t="s">
        <v>3715</v>
      </c>
      <c r="AJ40" s="27" t="s">
        <v>3716</v>
      </c>
      <c r="AK40" s="27" t="s">
        <v>3717</v>
      </c>
      <c r="AL40" s="27" t="s">
        <v>109</v>
      </c>
      <c r="AM40" s="27"/>
      <c r="AN40" s="27"/>
      <c r="AO40" s="27" t="s">
        <v>3718</v>
      </c>
      <c r="AP40" s="27" t="s">
        <v>109</v>
      </c>
      <c r="AQ40" s="27" t="s">
        <v>3719</v>
      </c>
      <c r="AR40" s="27" t="s">
        <v>3720</v>
      </c>
      <c r="AS40" s="27" t="s">
        <v>3721</v>
      </c>
      <c r="AT40" s="27" t="s">
        <v>109</v>
      </c>
      <c r="AU40" s="27" t="s">
        <v>98</v>
      </c>
      <c r="AV40" s="27" t="s">
        <v>3722</v>
      </c>
      <c r="AW40" s="27" t="s">
        <v>3723</v>
      </c>
      <c r="AX40" s="27" t="s">
        <v>3724</v>
      </c>
      <c r="AY40" s="27" t="s">
        <v>115</v>
      </c>
    </row>
    <row r="41" spans="1:51" x14ac:dyDescent="0.2">
      <c r="A41" s="24" t="s">
        <v>3725</v>
      </c>
      <c r="B41" s="24" t="s">
        <v>3726</v>
      </c>
      <c r="C41" s="24" t="s">
        <v>3727</v>
      </c>
      <c r="D41" s="24" t="s">
        <v>87</v>
      </c>
      <c r="E41" s="25">
        <v>124308522</v>
      </c>
      <c r="F41" s="25">
        <v>12000000</v>
      </c>
      <c r="G41" s="26">
        <v>305</v>
      </c>
      <c r="H41" s="26">
        <v>600</v>
      </c>
      <c r="I41" s="24" t="s">
        <v>143</v>
      </c>
      <c r="J41" s="24" t="s">
        <v>89</v>
      </c>
      <c r="K41" s="24" t="s">
        <v>90</v>
      </c>
      <c r="L41" s="24" t="s">
        <v>91</v>
      </c>
      <c r="M41" s="24" t="s">
        <v>3728</v>
      </c>
      <c r="N41" s="26">
        <v>7</v>
      </c>
      <c r="O41" s="24" t="s">
        <v>3729</v>
      </c>
      <c r="P41" s="24" t="s">
        <v>3730</v>
      </c>
      <c r="Q41" s="24"/>
      <c r="R41" s="24" t="s">
        <v>872</v>
      </c>
      <c r="S41" s="24" t="s">
        <v>3731</v>
      </c>
      <c r="T41" s="24" t="s">
        <v>21</v>
      </c>
      <c r="U41" s="24" t="s">
        <v>3732</v>
      </c>
      <c r="V41" s="24" t="s">
        <v>1063</v>
      </c>
      <c r="W41" s="24" t="s">
        <v>3733</v>
      </c>
      <c r="X41" s="24" t="s">
        <v>100</v>
      </c>
      <c r="Y41" s="24" t="s">
        <v>1063</v>
      </c>
      <c r="Z41" s="24" t="s">
        <v>3734</v>
      </c>
      <c r="AA41" s="24" t="s">
        <v>100</v>
      </c>
      <c r="AB41" s="24" t="s">
        <v>1063</v>
      </c>
      <c r="AC41" s="24" t="s">
        <v>3735</v>
      </c>
      <c r="AD41" s="24" t="s">
        <v>100</v>
      </c>
      <c r="AE41" s="24" t="s">
        <v>1063</v>
      </c>
      <c r="AF41" s="24" t="s">
        <v>3736</v>
      </c>
      <c r="AG41" s="24" t="s">
        <v>104</v>
      </c>
      <c r="AH41" s="24" t="s">
        <v>3737</v>
      </c>
      <c r="AI41" s="24" t="s">
        <v>3738</v>
      </c>
      <c r="AJ41" s="24" t="s">
        <v>3739</v>
      </c>
      <c r="AK41" s="24" t="s">
        <v>3740</v>
      </c>
      <c r="AL41" s="24" t="s">
        <v>133</v>
      </c>
      <c r="AM41" s="24" t="s">
        <v>2474</v>
      </c>
      <c r="AN41" s="24" t="s">
        <v>3741</v>
      </c>
      <c r="AO41" s="24" t="s">
        <v>3742</v>
      </c>
      <c r="AP41" s="24" t="s">
        <v>163</v>
      </c>
      <c r="AQ41" s="24" t="s">
        <v>1063</v>
      </c>
      <c r="AR41" s="24" t="s">
        <v>3743</v>
      </c>
      <c r="AS41" s="24" t="s">
        <v>3744</v>
      </c>
      <c r="AT41" s="24" t="s">
        <v>163</v>
      </c>
      <c r="AU41" s="24" t="s">
        <v>1063</v>
      </c>
      <c r="AV41" s="24" t="s">
        <v>3745</v>
      </c>
      <c r="AW41" s="24" t="s">
        <v>3746</v>
      </c>
      <c r="AX41" s="24" t="s">
        <v>3747</v>
      </c>
      <c r="AY41" s="24" t="s">
        <v>115</v>
      </c>
    </row>
    <row r="42" spans="1:51" x14ac:dyDescent="0.2">
      <c r="A42" s="27" t="s">
        <v>3748</v>
      </c>
      <c r="B42" s="27" t="s">
        <v>3749</v>
      </c>
      <c r="C42" s="27" t="s">
        <v>3750</v>
      </c>
      <c r="D42" s="27" t="s">
        <v>87</v>
      </c>
      <c r="E42" s="28">
        <v>121853569</v>
      </c>
      <c r="F42" s="28">
        <v>60000000</v>
      </c>
      <c r="G42" s="29">
        <v>4</v>
      </c>
      <c r="H42" s="29">
        <v>821</v>
      </c>
      <c r="I42" s="27" t="s">
        <v>88</v>
      </c>
      <c r="J42" s="27" t="s">
        <v>89</v>
      </c>
      <c r="K42" s="27" t="s">
        <v>118</v>
      </c>
      <c r="L42" s="27" t="s">
        <v>119</v>
      </c>
      <c r="M42" s="27" t="s">
        <v>3751</v>
      </c>
      <c r="N42" s="29">
        <v>35</v>
      </c>
      <c r="O42" s="27" t="s">
        <v>3752</v>
      </c>
      <c r="P42" s="27" t="s">
        <v>3753</v>
      </c>
      <c r="Q42" s="27"/>
      <c r="R42" s="27" t="s">
        <v>2740</v>
      </c>
      <c r="S42" s="27" t="s">
        <v>1887</v>
      </c>
      <c r="T42" s="27" t="s">
        <v>31</v>
      </c>
      <c r="U42" s="27" t="s">
        <v>3754</v>
      </c>
      <c r="V42" s="27" t="s">
        <v>473</v>
      </c>
      <c r="W42" s="27" t="s">
        <v>3755</v>
      </c>
      <c r="X42" s="27" t="s">
        <v>100</v>
      </c>
      <c r="Y42" s="27" t="s">
        <v>473</v>
      </c>
      <c r="Z42" s="27" t="s">
        <v>3756</v>
      </c>
      <c r="AA42" s="27" t="s">
        <v>100</v>
      </c>
      <c r="AB42" s="27" t="s">
        <v>473</v>
      </c>
      <c r="AC42" s="27" t="s">
        <v>3757</v>
      </c>
      <c r="AD42" s="27" t="s">
        <v>100</v>
      </c>
      <c r="AE42" s="27" t="s">
        <v>473</v>
      </c>
      <c r="AF42" s="27" t="s">
        <v>3758</v>
      </c>
      <c r="AG42" s="27" t="s">
        <v>104</v>
      </c>
      <c r="AH42" s="27" t="s">
        <v>3759</v>
      </c>
      <c r="AI42" s="27"/>
      <c r="AJ42" s="27"/>
      <c r="AK42" s="27" t="s">
        <v>3760</v>
      </c>
      <c r="AL42" s="27" t="s">
        <v>133</v>
      </c>
      <c r="AM42" s="27" t="s">
        <v>473</v>
      </c>
      <c r="AN42" s="27" t="s">
        <v>3761</v>
      </c>
      <c r="AO42" s="27" t="s">
        <v>3762</v>
      </c>
      <c r="AP42" s="27" t="s">
        <v>133</v>
      </c>
      <c r="AQ42" s="27" t="s">
        <v>473</v>
      </c>
      <c r="AR42" s="27" t="s">
        <v>3763</v>
      </c>
      <c r="AS42" s="27" t="s">
        <v>3764</v>
      </c>
      <c r="AT42" s="27" t="s">
        <v>133</v>
      </c>
      <c r="AU42" s="27" t="s">
        <v>473</v>
      </c>
      <c r="AV42" s="27" t="s">
        <v>3765</v>
      </c>
      <c r="AW42" s="27" t="s">
        <v>3766</v>
      </c>
      <c r="AX42" s="27" t="s">
        <v>3767</v>
      </c>
      <c r="AY42" s="27" t="s">
        <v>115</v>
      </c>
    </row>
    <row r="43" spans="1:51" x14ac:dyDescent="0.2">
      <c r="A43" s="24" t="s">
        <v>3768</v>
      </c>
      <c r="B43" s="24" t="s">
        <v>3769</v>
      </c>
      <c r="C43" s="24" t="s">
        <v>3770</v>
      </c>
      <c r="D43" s="24" t="s">
        <v>87</v>
      </c>
      <c r="E43" s="25">
        <v>116385218</v>
      </c>
      <c r="F43" s="25">
        <v>32121006</v>
      </c>
      <c r="G43" s="26">
        <v>137</v>
      </c>
      <c r="H43" s="26">
        <v>850</v>
      </c>
      <c r="I43" s="24" t="s">
        <v>88</v>
      </c>
      <c r="J43" s="24" t="s">
        <v>89</v>
      </c>
      <c r="K43" s="24" t="s">
        <v>90</v>
      </c>
      <c r="L43" s="24" t="s">
        <v>91</v>
      </c>
      <c r="M43" s="24" t="s">
        <v>3771</v>
      </c>
      <c r="N43" s="26">
        <v>16</v>
      </c>
      <c r="O43" s="24" t="s">
        <v>3772</v>
      </c>
      <c r="P43" s="24" t="s">
        <v>2701</v>
      </c>
      <c r="Q43" s="24"/>
      <c r="R43" s="24" t="s">
        <v>1187</v>
      </c>
      <c r="S43" s="24" t="s">
        <v>1188</v>
      </c>
      <c r="T43" s="24" t="s">
        <v>26</v>
      </c>
      <c r="U43" s="24" t="s">
        <v>3773</v>
      </c>
      <c r="V43" s="24" t="s">
        <v>252</v>
      </c>
      <c r="W43" s="24" t="s">
        <v>3774</v>
      </c>
      <c r="X43" s="24" t="s">
        <v>100</v>
      </c>
      <c r="Y43" s="24" t="s">
        <v>352</v>
      </c>
      <c r="Z43" s="24" t="s">
        <v>3775</v>
      </c>
      <c r="AA43" s="24" t="s">
        <v>100</v>
      </c>
      <c r="AB43" s="24" t="s">
        <v>98</v>
      </c>
      <c r="AC43" s="24" t="s">
        <v>3776</v>
      </c>
      <c r="AD43" s="24" t="s">
        <v>100</v>
      </c>
      <c r="AE43" s="24" t="s">
        <v>252</v>
      </c>
      <c r="AF43" s="24" t="s">
        <v>3777</v>
      </c>
      <c r="AG43" s="24" t="s">
        <v>104</v>
      </c>
      <c r="AH43" s="24" t="s">
        <v>3778</v>
      </c>
      <c r="AI43" s="24" t="s">
        <v>3779</v>
      </c>
      <c r="AJ43" s="24" t="s">
        <v>3780</v>
      </c>
      <c r="AK43" s="24" t="s">
        <v>3781</v>
      </c>
      <c r="AL43" s="24" t="s">
        <v>185</v>
      </c>
      <c r="AM43" s="24" t="s">
        <v>252</v>
      </c>
      <c r="AN43" s="24" t="s">
        <v>3782</v>
      </c>
      <c r="AO43" s="24" t="s">
        <v>3783</v>
      </c>
      <c r="AP43" s="24" t="s">
        <v>109</v>
      </c>
      <c r="AQ43" s="24" t="s">
        <v>252</v>
      </c>
      <c r="AR43" s="24" t="s">
        <v>3784</v>
      </c>
      <c r="AS43" s="24" t="s">
        <v>3785</v>
      </c>
      <c r="AT43" s="24" t="s">
        <v>109</v>
      </c>
      <c r="AU43" s="24" t="s">
        <v>98</v>
      </c>
      <c r="AV43" s="24" t="s">
        <v>3786</v>
      </c>
      <c r="AW43" s="24" t="s">
        <v>3787</v>
      </c>
      <c r="AX43" s="24" t="s">
        <v>3788</v>
      </c>
      <c r="AY43" s="24" t="s">
        <v>115</v>
      </c>
    </row>
    <row r="44" spans="1:51" x14ac:dyDescent="0.2">
      <c r="A44" s="27" t="s">
        <v>3789</v>
      </c>
      <c r="B44" s="27" t="s">
        <v>3790</v>
      </c>
      <c r="C44" s="27"/>
      <c r="D44" s="27" t="s">
        <v>87</v>
      </c>
      <c r="E44" s="28">
        <v>114936256</v>
      </c>
      <c r="F44" s="28">
        <v>6000000</v>
      </c>
      <c r="G44" s="29"/>
      <c r="H44" s="29">
        <v>872</v>
      </c>
      <c r="I44" s="27" t="s">
        <v>88</v>
      </c>
      <c r="J44" s="27" t="s">
        <v>89</v>
      </c>
      <c r="K44" s="27" t="s">
        <v>144</v>
      </c>
      <c r="L44" s="27" t="s">
        <v>145</v>
      </c>
      <c r="M44" s="27" t="s">
        <v>3791</v>
      </c>
      <c r="N44" s="29">
        <v>3</v>
      </c>
      <c r="O44" s="27" t="s">
        <v>3792</v>
      </c>
      <c r="P44" s="27"/>
      <c r="Q44" s="27" t="s">
        <v>3793</v>
      </c>
      <c r="R44" s="27" t="s">
        <v>3794</v>
      </c>
      <c r="S44" s="27" t="s">
        <v>3795</v>
      </c>
      <c r="T44" s="27" t="s">
        <v>25</v>
      </c>
      <c r="U44" s="27" t="s">
        <v>3796</v>
      </c>
      <c r="V44" s="27" t="s">
        <v>1923</v>
      </c>
      <c r="W44" s="27" t="s">
        <v>3797</v>
      </c>
      <c r="X44" s="27" t="s">
        <v>100</v>
      </c>
      <c r="Y44" s="27" t="s">
        <v>1923</v>
      </c>
      <c r="Z44" s="27" t="s">
        <v>3798</v>
      </c>
      <c r="AA44" s="27" t="s">
        <v>100</v>
      </c>
      <c r="AB44" s="27" t="s">
        <v>1923</v>
      </c>
      <c r="AC44" s="27" t="s">
        <v>3799</v>
      </c>
      <c r="AD44" s="27" t="s">
        <v>104</v>
      </c>
      <c r="AE44" s="27"/>
      <c r="AF44" s="27"/>
      <c r="AG44" s="27"/>
      <c r="AH44" s="27" t="s">
        <v>3800</v>
      </c>
      <c r="AI44" s="27" t="s">
        <v>3801</v>
      </c>
      <c r="AJ44" s="27" t="s">
        <v>3802</v>
      </c>
      <c r="AK44" s="27" t="s">
        <v>3803</v>
      </c>
      <c r="AL44" s="27" t="s">
        <v>109</v>
      </c>
      <c r="AM44" s="27" t="s">
        <v>450</v>
      </c>
      <c r="AN44" s="27" t="s">
        <v>3804</v>
      </c>
      <c r="AO44" s="27" t="s">
        <v>3805</v>
      </c>
      <c r="AP44" s="27" t="s">
        <v>109</v>
      </c>
      <c r="AQ44" s="27" t="s">
        <v>450</v>
      </c>
      <c r="AR44" s="27" t="s">
        <v>3806</v>
      </c>
      <c r="AS44" s="27" t="s">
        <v>3807</v>
      </c>
      <c r="AT44" s="27" t="s">
        <v>185</v>
      </c>
      <c r="AU44" s="27" t="s">
        <v>450</v>
      </c>
      <c r="AV44" s="27" t="s">
        <v>3808</v>
      </c>
      <c r="AW44" s="27" t="s">
        <v>3809</v>
      </c>
      <c r="AX44" s="27" t="s">
        <v>3810</v>
      </c>
      <c r="AY44" s="27" t="s">
        <v>115</v>
      </c>
    </row>
    <row r="45" spans="1:51" x14ac:dyDescent="0.2">
      <c r="A45" s="24" t="s">
        <v>3811</v>
      </c>
      <c r="B45" s="24" t="s">
        <v>3812</v>
      </c>
      <c r="C45" s="24" t="s">
        <v>3813</v>
      </c>
      <c r="D45" s="24" t="s">
        <v>87</v>
      </c>
      <c r="E45" s="25">
        <v>113467480</v>
      </c>
      <c r="F45" s="25">
        <v>30000</v>
      </c>
      <c r="G45" s="26">
        <v>32</v>
      </c>
      <c r="H45" s="26">
        <v>571</v>
      </c>
      <c r="I45" s="24" t="s">
        <v>143</v>
      </c>
      <c r="J45" s="24" t="s">
        <v>89</v>
      </c>
      <c r="K45" s="24" t="s">
        <v>90</v>
      </c>
      <c r="L45" s="24" t="s">
        <v>91</v>
      </c>
      <c r="M45" s="24" t="s">
        <v>3814</v>
      </c>
      <c r="N45" s="26">
        <v>8</v>
      </c>
      <c r="O45" s="24" t="s">
        <v>3815</v>
      </c>
      <c r="P45" s="24" t="s">
        <v>3816</v>
      </c>
      <c r="Q45" s="24" t="s">
        <v>3817</v>
      </c>
      <c r="R45" s="24" t="s">
        <v>149</v>
      </c>
      <c r="S45" s="24" t="s">
        <v>3818</v>
      </c>
      <c r="T45" s="24" t="s">
        <v>29</v>
      </c>
      <c r="U45" s="24" t="s">
        <v>3819</v>
      </c>
      <c r="V45" s="24" t="s">
        <v>489</v>
      </c>
      <c r="W45" s="24" t="s">
        <v>3820</v>
      </c>
      <c r="X45" s="24" t="s">
        <v>100</v>
      </c>
      <c r="Y45" s="24" t="s">
        <v>489</v>
      </c>
      <c r="Z45" s="24" t="s">
        <v>3821</v>
      </c>
      <c r="AA45" s="24" t="s">
        <v>100</v>
      </c>
      <c r="AB45" s="24" t="s">
        <v>489</v>
      </c>
      <c r="AC45" s="24" t="s">
        <v>3822</v>
      </c>
      <c r="AD45" s="24" t="s">
        <v>104</v>
      </c>
      <c r="AE45" s="24"/>
      <c r="AF45" s="24"/>
      <c r="AG45" s="24"/>
      <c r="AH45" s="24" t="s">
        <v>3823</v>
      </c>
      <c r="AI45" s="24" t="s">
        <v>3824</v>
      </c>
      <c r="AJ45" s="24" t="s">
        <v>3825</v>
      </c>
      <c r="AK45" s="24" t="s">
        <v>3826</v>
      </c>
      <c r="AL45" s="24" t="s">
        <v>133</v>
      </c>
      <c r="AM45" s="24" t="s">
        <v>489</v>
      </c>
      <c r="AN45" s="24" t="s">
        <v>3827</v>
      </c>
      <c r="AO45" s="24" t="s">
        <v>3828</v>
      </c>
      <c r="AP45" s="24" t="s">
        <v>133</v>
      </c>
      <c r="AQ45" s="24" t="s">
        <v>489</v>
      </c>
      <c r="AR45" s="24" t="s">
        <v>3829</v>
      </c>
      <c r="AS45" s="24"/>
      <c r="AT45" s="24"/>
      <c r="AU45" s="24"/>
      <c r="AV45" s="24"/>
      <c r="AW45" s="24" t="s">
        <v>3830</v>
      </c>
      <c r="AX45" s="24" t="s">
        <v>3831</v>
      </c>
      <c r="AY45" s="24" t="s">
        <v>115</v>
      </c>
    </row>
    <row r="46" spans="1:51" x14ac:dyDescent="0.2">
      <c r="A46" s="27" t="s">
        <v>3832</v>
      </c>
      <c r="B46" s="27" t="s">
        <v>3833</v>
      </c>
      <c r="C46" s="27"/>
      <c r="D46" s="27" t="s">
        <v>87</v>
      </c>
      <c r="E46" s="28">
        <v>111837632</v>
      </c>
      <c r="F46" s="28">
        <v>100000000</v>
      </c>
      <c r="G46" s="29">
        <v>2642</v>
      </c>
      <c r="H46" s="29">
        <v>919</v>
      </c>
      <c r="I46" s="27" t="s">
        <v>88</v>
      </c>
      <c r="J46" s="27" t="s">
        <v>89</v>
      </c>
      <c r="K46" s="27" t="s">
        <v>90</v>
      </c>
      <c r="L46" s="27" t="s">
        <v>91</v>
      </c>
      <c r="M46" s="27" t="s">
        <v>3834</v>
      </c>
      <c r="N46" s="29">
        <v>14</v>
      </c>
      <c r="O46" s="27" t="s">
        <v>3835</v>
      </c>
      <c r="P46" s="27" t="s">
        <v>3836</v>
      </c>
      <c r="Q46" s="27"/>
      <c r="R46" s="27" t="s">
        <v>3837</v>
      </c>
      <c r="S46" s="27" t="s">
        <v>342</v>
      </c>
      <c r="T46" s="27" t="s">
        <v>31</v>
      </c>
      <c r="U46" s="27" t="s">
        <v>3838</v>
      </c>
      <c r="V46" s="27" t="s">
        <v>98</v>
      </c>
      <c r="W46" s="27" t="s">
        <v>3839</v>
      </c>
      <c r="X46" s="27" t="s">
        <v>100</v>
      </c>
      <c r="Y46" s="27" t="s">
        <v>98</v>
      </c>
      <c r="Z46" s="27" t="s">
        <v>3840</v>
      </c>
      <c r="AA46" s="27" t="s">
        <v>100</v>
      </c>
      <c r="AB46" s="27" t="s">
        <v>98</v>
      </c>
      <c r="AC46" s="27" t="s">
        <v>3841</v>
      </c>
      <c r="AD46" s="27" t="s">
        <v>100</v>
      </c>
      <c r="AE46" s="27" t="s">
        <v>98</v>
      </c>
      <c r="AF46" s="27" t="s">
        <v>3842</v>
      </c>
      <c r="AG46" s="27" t="s">
        <v>104</v>
      </c>
      <c r="AH46" s="27" t="s">
        <v>3843</v>
      </c>
      <c r="AI46" s="27" t="s">
        <v>3844</v>
      </c>
      <c r="AJ46" s="27" t="s">
        <v>3845</v>
      </c>
      <c r="AK46" s="27" t="s">
        <v>3846</v>
      </c>
      <c r="AL46" s="27" t="s">
        <v>133</v>
      </c>
      <c r="AM46" s="27" t="s">
        <v>98</v>
      </c>
      <c r="AN46" s="27" t="s">
        <v>3847</v>
      </c>
      <c r="AO46" s="27" t="s">
        <v>3848</v>
      </c>
      <c r="AP46" s="27" t="s">
        <v>133</v>
      </c>
      <c r="AQ46" s="27" t="s">
        <v>98</v>
      </c>
      <c r="AR46" s="27" t="s">
        <v>3849</v>
      </c>
      <c r="AS46" s="27"/>
      <c r="AT46" s="27"/>
      <c r="AU46" s="27"/>
      <c r="AV46" s="27"/>
      <c r="AW46" s="27" t="s">
        <v>3850</v>
      </c>
      <c r="AX46" s="27" t="s">
        <v>3851</v>
      </c>
      <c r="AY46" s="27" t="s">
        <v>115</v>
      </c>
    </row>
    <row r="47" spans="1:51" x14ac:dyDescent="0.2">
      <c r="A47" s="24" t="s">
        <v>3852</v>
      </c>
      <c r="B47" s="24" t="s">
        <v>3853</v>
      </c>
      <c r="C47" s="24"/>
      <c r="D47" s="24" t="s">
        <v>431</v>
      </c>
      <c r="E47" s="25">
        <v>110013716</v>
      </c>
      <c r="F47" s="25">
        <v>42356056</v>
      </c>
      <c r="G47" s="26">
        <v>351</v>
      </c>
      <c r="H47" s="26">
        <v>725</v>
      </c>
      <c r="I47" s="24" t="s">
        <v>88</v>
      </c>
      <c r="J47" s="24" t="s">
        <v>89</v>
      </c>
      <c r="K47" s="24" t="s">
        <v>90</v>
      </c>
      <c r="L47" s="24" t="s">
        <v>91</v>
      </c>
      <c r="M47" s="24" t="s">
        <v>3854</v>
      </c>
      <c r="N47" s="26">
        <v>12</v>
      </c>
      <c r="O47" s="24" t="s">
        <v>3855</v>
      </c>
      <c r="P47" s="24" t="s">
        <v>3856</v>
      </c>
      <c r="Q47" s="24" t="s">
        <v>3857</v>
      </c>
      <c r="R47" s="24" t="s">
        <v>3858</v>
      </c>
      <c r="S47" s="24" t="s">
        <v>3859</v>
      </c>
      <c r="T47" s="24" t="s">
        <v>29</v>
      </c>
      <c r="U47" s="24" t="s">
        <v>3860</v>
      </c>
      <c r="V47" s="24" t="s">
        <v>573</v>
      </c>
      <c r="W47" s="24" t="s">
        <v>3861</v>
      </c>
      <c r="X47" s="24" t="s">
        <v>100</v>
      </c>
      <c r="Y47" s="24" t="s">
        <v>573</v>
      </c>
      <c r="Z47" s="24" t="s">
        <v>3862</v>
      </c>
      <c r="AA47" s="24" t="s">
        <v>100</v>
      </c>
      <c r="AB47" s="24" t="s">
        <v>573</v>
      </c>
      <c r="AC47" s="24" t="s">
        <v>3863</v>
      </c>
      <c r="AD47" s="24" t="s">
        <v>100</v>
      </c>
      <c r="AE47" s="24" t="s">
        <v>573</v>
      </c>
      <c r="AF47" s="24" t="s">
        <v>3864</v>
      </c>
      <c r="AG47" s="24" t="s">
        <v>104</v>
      </c>
      <c r="AH47" s="24"/>
      <c r="AI47" s="24"/>
      <c r="AJ47" s="24"/>
      <c r="AK47" s="24" t="s">
        <v>3865</v>
      </c>
      <c r="AL47" s="24" t="s">
        <v>133</v>
      </c>
      <c r="AM47" s="24" t="s">
        <v>1084</v>
      </c>
      <c r="AN47" s="24" t="s">
        <v>3866</v>
      </c>
      <c r="AO47" s="24" t="s">
        <v>3867</v>
      </c>
      <c r="AP47" s="24" t="s">
        <v>163</v>
      </c>
      <c r="AQ47" s="24" t="s">
        <v>573</v>
      </c>
      <c r="AR47" s="24" t="s">
        <v>3868</v>
      </c>
      <c r="AS47" s="24" t="s">
        <v>3869</v>
      </c>
      <c r="AT47" s="24" t="s">
        <v>163</v>
      </c>
      <c r="AU47" s="24" t="s">
        <v>573</v>
      </c>
      <c r="AV47" s="24" t="s">
        <v>3870</v>
      </c>
      <c r="AW47" s="24" t="s">
        <v>3871</v>
      </c>
      <c r="AX47" s="24" t="s">
        <v>3872</v>
      </c>
      <c r="AY47" s="24" t="s">
        <v>115</v>
      </c>
    </row>
    <row r="48" spans="1:51" x14ac:dyDescent="0.2">
      <c r="A48" s="27" t="s">
        <v>3873</v>
      </c>
      <c r="B48" s="27" t="s">
        <v>3874</v>
      </c>
      <c r="C48" s="27" t="s">
        <v>3875</v>
      </c>
      <c r="D48" s="27" t="s">
        <v>87</v>
      </c>
      <c r="E48" s="28">
        <v>107219289</v>
      </c>
      <c r="F48" s="28">
        <v>14332345</v>
      </c>
      <c r="G48" s="29">
        <v>91</v>
      </c>
      <c r="H48" s="29">
        <v>858</v>
      </c>
      <c r="I48" s="27" t="s">
        <v>88</v>
      </c>
      <c r="J48" s="27" t="s">
        <v>89</v>
      </c>
      <c r="K48" s="27" t="s">
        <v>3496</v>
      </c>
      <c r="L48" s="27" t="s">
        <v>3497</v>
      </c>
      <c r="M48" s="27" t="s">
        <v>3876</v>
      </c>
      <c r="N48" s="29">
        <v>9</v>
      </c>
      <c r="O48" s="27" t="s">
        <v>3877</v>
      </c>
      <c r="P48" s="27" t="s">
        <v>3878</v>
      </c>
      <c r="Q48" s="27" t="s">
        <v>3879</v>
      </c>
      <c r="R48" s="27" t="s">
        <v>3880</v>
      </c>
      <c r="S48" s="27" t="s">
        <v>342</v>
      </c>
      <c r="T48" s="27" t="s">
        <v>31</v>
      </c>
      <c r="U48" s="27" t="s">
        <v>3881</v>
      </c>
      <c r="V48" s="27" t="s">
        <v>98</v>
      </c>
      <c r="W48" s="27" t="s">
        <v>3882</v>
      </c>
      <c r="X48" s="27" t="s">
        <v>104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 t="s">
        <v>3883</v>
      </c>
      <c r="AI48" s="27" t="s">
        <v>3884</v>
      </c>
      <c r="AJ48" s="27" t="s">
        <v>3885</v>
      </c>
      <c r="AK48" s="27" t="s">
        <v>3886</v>
      </c>
      <c r="AL48" s="27" t="s">
        <v>208</v>
      </c>
      <c r="AM48" s="27" t="s">
        <v>98</v>
      </c>
      <c r="AN48" s="27" t="s">
        <v>3887</v>
      </c>
      <c r="AO48" s="27" t="s">
        <v>3888</v>
      </c>
      <c r="AP48" s="27" t="s">
        <v>109</v>
      </c>
      <c r="AQ48" s="27" t="s">
        <v>98</v>
      </c>
      <c r="AR48" s="27" t="s">
        <v>3889</v>
      </c>
      <c r="AS48" s="27" t="s">
        <v>3890</v>
      </c>
      <c r="AT48" s="27" t="s">
        <v>208</v>
      </c>
      <c r="AU48" s="27" t="s">
        <v>98</v>
      </c>
      <c r="AV48" s="27" t="s">
        <v>3891</v>
      </c>
      <c r="AW48" s="27" t="s">
        <v>3892</v>
      </c>
      <c r="AX48" s="27" t="s">
        <v>3893</v>
      </c>
      <c r="AY48" s="27" t="s">
        <v>115</v>
      </c>
    </row>
    <row r="49" spans="1:51" x14ac:dyDescent="0.2">
      <c r="A49" s="24" t="s">
        <v>3894</v>
      </c>
      <c r="B49" s="24" t="s">
        <v>3895</v>
      </c>
      <c r="C49" s="24" t="s">
        <v>3896</v>
      </c>
      <c r="D49" s="24" t="s">
        <v>431</v>
      </c>
      <c r="E49" s="25">
        <v>104814956</v>
      </c>
      <c r="F49" s="25">
        <v>13794800</v>
      </c>
      <c r="G49" s="26">
        <v>179</v>
      </c>
      <c r="H49" s="26">
        <v>848</v>
      </c>
      <c r="I49" s="24" t="s">
        <v>88</v>
      </c>
      <c r="J49" s="24" t="s">
        <v>89</v>
      </c>
      <c r="K49" s="24" t="s">
        <v>192</v>
      </c>
      <c r="L49" s="24" t="s">
        <v>193</v>
      </c>
      <c r="M49" s="24" t="s">
        <v>3897</v>
      </c>
      <c r="N49" s="26">
        <v>0</v>
      </c>
      <c r="O49" s="24" t="s">
        <v>3898</v>
      </c>
      <c r="P49" s="24" t="s">
        <v>549</v>
      </c>
      <c r="Q49" s="24"/>
      <c r="R49" s="24" t="s">
        <v>1081</v>
      </c>
      <c r="S49" s="24" t="s">
        <v>3899</v>
      </c>
      <c r="T49" s="24" t="s">
        <v>31</v>
      </c>
      <c r="U49" s="24" t="s">
        <v>3900</v>
      </c>
      <c r="V49" s="24" t="s">
        <v>1971</v>
      </c>
      <c r="W49" s="24" t="s">
        <v>3901</v>
      </c>
      <c r="X49" s="24" t="s">
        <v>100</v>
      </c>
      <c r="Y49" s="24" t="s">
        <v>1971</v>
      </c>
      <c r="Z49" s="24" t="s">
        <v>3902</v>
      </c>
      <c r="AA49" s="24" t="s">
        <v>100</v>
      </c>
      <c r="AB49" s="24" t="s">
        <v>1971</v>
      </c>
      <c r="AC49" s="24" t="s">
        <v>3903</v>
      </c>
      <c r="AD49" s="24" t="s">
        <v>100</v>
      </c>
      <c r="AE49" s="24" t="s">
        <v>1971</v>
      </c>
      <c r="AF49" s="24" t="s">
        <v>3904</v>
      </c>
      <c r="AG49" s="24" t="s">
        <v>104</v>
      </c>
      <c r="AH49" s="24" t="s">
        <v>3905</v>
      </c>
      <c r="AI49" s="24" t="s">
        <v>3906</v>
      </c>
      <c r="AJ49" s="24" t="s">
        <v>3907</v>
      </c>
      <c r="AK49" s="24" t="s">
        <v>3908</v>
      </c>
      <c r="AL49" s="24" t="s">
        <v>133</v>
      </c>
      <c r="AM49" s="24"/>
      <c r="AN49" s="24"/>
      <c r="AO49" s="24" t="s">
        <v>3909</v>
      </c>
      <c r="AP49" s="24" t="s">
        <v>163</v>
      </c>
      <c r="AQ49" s="24" t="s">
        <v>1971</v>
      </c>
      <c r="AR49" s="24" t="s">
        <v>3910</v>
      </c>
      <c r="AS49" s="24" t="s">
        <v>3911</v>
      </c>
      <c r="AT49" s="24" t="s">
        <v>163</v>
      </c>
      <c r="AU49" s="24" t="s">
        <v>1971</v>
      </c>
      <c r="AV49" s="24" t="s">
        <v>3912</v>
      </c>
      <c r="AW49" s="24" t="s">
        <v>3913</v>
      </c>
      <c r="AX49" s="24" t="s">
        <v>3914</v>
      </c>
      <c r="AY49" s="24" t="s">
        <v>115</v>
      </c>
    </row>
    <row r="50" spans="1:51" x14ac:dyDescent="0.2">
      <c r="A50" s="27" t="s">
        <v>3915</v>
      </c>
      <c r="B50" s="27" t="s">
        <v>3916</v>
      </c>
      <c r="C50" s="27" t="s">
        <v>3917</v>
      </c>
      <c r="D50" s="27" t="s">
        <v>431</v>
      </c>
      <c r="E50" s="28">
        <v>102544670</v>
      </c>
      <c r="F50" s="28">
        <v>6180000</v>
      </c>
      <c r="G50" s="29">
        <v>276</v>
      </c>
      <c r="H50" s="29">
        <v>142</v>
      </c>
      <c r="I50" s="27" t="s">
        <v>1802</v>
      </c>
      <c r="J50" s="27" t="s">
        <v>89</v>
      </c>
      <c r="K50" s="27" t="s">
        <v>1225</v>
      </c>
      <c r="L50" s="27" t="s">
        <v>1226</v>
      </c>
      <c r="M50" s="27" t="s">
        <v>3918</v>
      </c>
      <c r="N50" s="29">
        <v>3</v>
      </c>
      <c r="O50" s="27" t="s">
        <v>3919</v>
      </c>
      <c r="P50" s="27" t="s">
        <v>3920</v>
      </c>
      <c r="Q50" s="27" t="s">
        <v>3921</v>
      </c>
      <c r="R50" s="27" t="s">
        <v>3922</v>
      </c>
      <c r="S50" s="27" t="s">
        <v>3923</v>
      </c>
      <c r="T50" s="27" t="s">
        <v>27</v>
      </c>
      <c r="U50" s="27" t="s">
        <v>3924</v>
      </c>
      <c r="V50" s="27" t="s">
        <v>473</v>
      </c>
      <c r="W50" s="27" t="s">
        <v>3925</v>
      </c>
      <c r="X50" s="27" t="s">
        <v>100</v>
      </c>
      <c r="Y50" s="27" t="s">
        <v>473</v>
      </c>
      <c r="Z50" s="27" t="s">
        <v>3926</v>
      </c>
      <c r="AA50" s="27" t="s">
        <v>100</v>
      </c>
      <c r="AB50" s="27" t="s">
        <v>473</v>
      </c>
      <c r="AC50" s="27" t="s">
        <v>3927</v>
      </c>
      <c r="AD50" s="27" t="s">
        <v>100</v>
      </c>
      <c r="AE50" s="27" t="s">
        <v>473</v>
      </c>
      <c r="AF50" s="27" t="s">
        <v>3928</v>
      </c>
      <c r="AG50" s="27" t="s">
        <v>104</v>
      </c>
      <c r="AH50" s="27" t="s">
        <v>3929</v>
      </c>
      <c r="AI50" s="27"/>
      <c r="AJ50" s="27"/>
      <c r="AK50" s="27" t="s">
        <v>3930</v>
      </c>
      <c r="AL50" s="27" t="s">
        <v>133</v>
      </c>
      <c r="AM50" s="27" t="s">
        <v>473</v>
      </c>
      <c r="AN50" s="27" t="s">
        <v>3931</v>
      </c>
      <c r="AO50" s="27" t="s">
        <v>3932</v>
      </c>
      <c r="AP50" s="27" t="s">
        <v>163</v>
      </c>
      <c r="AQ50" s="27" t="s">
        <v>473</v>
      </c>
      <c r="AR50" s="27" t="s">
        <v>3928</v>
      </c>
      <c r="AS50" s="27"/>
      <c r="AT50" s="27"/>
      <c r="AU50" s="27"/>
      <c r="AV50" s="27"/>
      <c r="AW50" s="27" t="s">
        <v>3933</v>
      </c>
      <c r="AX50" s="27" t="s">
        <v>3934</v>
      </c>
      <c r="AY50" s="27" t="s">
        <v>115</v>
      </c>
    </row>
  </sheetData>
  <autoFilter ref="A4:AY50" xr:uid="{00000000-0009-0000-0000-000004000000}"/>
  <mergeCells count="2">
    <mergeCell ref="A1:AY1"/>
    <mergeCell ref="A2:AY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SANDRA</vt:lpstr>
      <vt:lpstr>ADRIANA</vt:lpstr>
      <vt:lpstr>GISLAINE</vt:lpstr>
      <vt:lpstr>EDUARDO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Nicholson Pimentel</cp:lastModifiedBy>
  <cp:revision>0</cp:revision>
  <dcterms:created xsi:type="dcterms:W3CDTF">2026-04-23T13:00:49Z</dcterms:created>
  <dcterms:modified xsi:type="dcterms:W3CDTF">2026-04-23T13:08:04Z</dcterms:modified>
  <dc:language>en-US</dc:language>
</cp:coreProperties>
</file>