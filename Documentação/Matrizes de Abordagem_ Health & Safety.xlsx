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Interação" sheetId="1" r:id="rId5"/>
    <sheet state="visible" name="Boas Práticas" sheetId="2" r:id="rId6"/>
    <sheet state="visible" name="Script Prospecção" sheetId="3" r:id="rId7"/>
    <sheet state="visible" name="Cadências Prospecção" sheetId="4" r:id="rId8"/>
    <sheet state="visible" name="Cadências Acompanhamento" sheetId="5" r:id="rId9"/>
    <sheet state="visible" name="Cadências Reativação" sheetId="6" r:id="rId10"/>
    <sheet state="visible" name="Diagnóstico + Proposta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tc={043c94c9-a69d-41a8-943b-89c47f8edaa3}</author>
  </authors>
  <commentList>
    <comment authorId="0" xr:uid="{043c94c9-a69d-41a8-943b-89c47f8edaa3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sucesso
Não houve avanço relevante na oportunidade.
Cenários:
• Não conseguiu contato com pessoa relevante
• Conversa não gerou interesse ou continuidade
• Lead fora do ICP ou sem fit
• Não houve definição de próximo passo
• Interação não agregou informação útil para avanço
👉 Resumo prático: não avançou e não gerou aprendizado relevante
Reply:
	Sucesso parcial
Houve avanço limitado ou geração de informação relevante, mas sem progresso completo.
Cenários:
• Falou com pessoa não decisora, mas coletou informações úteis
• Identificou decisor, estrutura ou contexto
• Houve interesse inicial, mas sem próximo passo definido
• Próximo passo sugerido, mas não confirmado
• Interação destravou parcialmente a oportunidade
👉 Resumo prático: avançou, mas ainda não moveu o deal de verdade
Reply:
	Sucesso total
Houve avanço claro e objetivo na oportunidade.
Cenários:
• Falou com decisor ou stakeholders relevantes
• Próximo passo definido e confirmado (ex: reunião, proposta, validação)
• Oportunidade avançou de etapa no funil
• Interesse claro e alinhamento com solução
• Interação contribuiu diretamente para evolução da venda
👉 Resumo prático: avançou etapa com próximo passo claro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tc={676d9cb1-3588-4def-9ef4-c8719612aa13}</author>
    <author>tc={70035438-9142-446a-bee3-fbba5fd03615}</author>
    <author>tc={7d127eb5-291c-499b-8b7b-e81ec9bc7151}</author>
    <author>tc={8f178212-0b5d-4483-8742-3c375d377e27}</author>
  </authors>
  <commentList>
    <comment authorId="0" xr:uid="{676d9cb1-3588-4def-9ef4-c8719612aa13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Alterar o nome Planta, para Unidade ou Filial
</t>
      </text>
    </comment>
    <comment authorId="1" xr:uid="{70035438-9142-446a-bee3-fbba5fd03615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bifurcação de aceitou reuniao ou não
Reply:
	Se vai pro automatizado ou não
</t>
      </text>
    </comment>
    <comment authorId="2" xr:uid="{7d127eb5-291c-499b-8b7b-e81ec9bc7151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Tiraria a frase" é um bom momento para falar"?
</t>
      </text>
    </comment>
    <comment authorId="3" xr:uid="{8f178212-0b5d-4483-8742-3c375d377e27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pergunta deveria ser de abertura (Antes da Prova social) indo mais direto, pergunta já se é o responsável
</t>
      </text>
    </comment>
  </commentList>
</comments>
</file>

<file path=xl/sharedStrings.xml><?xml version="1.0" encoding="utf-8"?>
<sst xmlns="http://schemas.openxmlformats.org/spreadsheetml/2006/main" count="378" uniqueCount="271">
  <si>
    <t>Bloco</t>
  </si>
  <si>
    <t>🧠 1. Pesquise antes de ligar (preparação)</t>
  </si>
  <si>
    <t>Sub Bloco</t>
  </si>
  <si>
    <t>Tipo de Interação</t>
  </si>
  <si>
    <t>Objetivo</t>
  </si>
  <si>
    <t>Script</t>
  </si>
  <si>
    <t>Intenção</t>
  </si>
  <si>
    <t>✔️ Antes de fazer a ligação, pesquise sobre o lead e a empresa para tornar a abordagem mais personalizada e relevante.</t>
  </si>
  <si>
    <t>Status</t>
  </si>
  <si>
    <t>Resultado do Contato</t>
  </si>
  <si>
    <t>Conclusão</t>
  </si>
  <si>
    <t>Abertura</t>
  </si>
  <si>
    <t>🎯 2. Abertura clara e com contexto</t>
  </si>
  <si>
    <t>Apresentação + permissão</t>
  </si>
  <si>
    <t>✔️ Comece com uma introdução curta, peça permissão para falar e imediatamente explique o motivo da ligação — foco no valor relevante.</t>
  </si>
  <si>
    <t>Ligação Outbound Fria</t>
  </si>
  <si>
    <t>💬 3. Seja conversacional, não “robotizado”</t>
  </si>
  <si>
    <t>✔️ Um script deve servir como guia, não como texto exato que você lê — assim a conversa fica mais natural.</t>
  </si>
  <si>
    <t>Gerar conexão com lead novo e identificar decisor / oportunidade</t>
  </si>
  <si>
    <t>Não atendeu
Ocupado
Número inválido
Caixa postal
Atendida</t>
  </si>
  <si>
    <t>🗣️ 4. Demonstre autoridade logo no início</t>
  </si>
  <si>
    <t xml:space="preserve">                                  Cadência Inbound</t>
  </si>
  <si>
    <t>✔️ Use prova social ou um benefício claro logo após a apresentação para captar atenção rapidamente.</t>
  </si>
  <si>
    <t>Não passou do gatekeeper
Falou com gatekeeper
Falou com usuário / influenciador
Falou com decisor
Falou com decisor + influenciador
Número/contato errado</t>
  </si>
  <si>
    <t>❓ 5. Faça perguntas abertas e qualificativas</t>
  </si>
  <si>
    <t>Gerar contexto e abrir conversa</t>
  </si>
  <si>
    <t>Oi, {Nome}, tudo bem? Aqui é {Seu nome} da Health &amp; Safety.</t>
  </si>
  <si>
    <t>✔️ Em vez de “empurrar” sua solução, pergunte sobre desafios, processos e necessidades — isso cria engajamento.</t>
  </si>
  <si>
    <t>📈 6. Mantenha foco no valor</t>
  </si>
  <si>
    <t>Sem sucesso
Sucesso parcial
Sucesso total</t>
  </si>
  <si>
    <t>✔️ Em vez de falar de funcionalidades, mostre impactos e benefícios que outras empresas similares já experimentaram.</t>
  </si>
  <si>
    <t>Responsável por SST</t>
  </si>
  <si>
    <t>Garantir que fala com a pessoa certa</t>
  </si>
  <si>
    <t>Só pra eu não errar o direcionamento: hoje é você quem cuida da parte de Segurança do Trabalho aí ou tem mais alguém envolvido nessa frente?</t>
  </si>
  <si>
    <t>Dia 1</t>
  </si>
  <si>
    <t>Dia 2</t>
  </si>
  <si>
    <t>Dia 3</t>
  </si>
  <si>
    <t>Dia 4</t>
  </si>
  <si>
    <t>Dia 5</t>
  </si>
  <si>
    <t>Ligação Inbound Quente</t>
  </si>
  <si>
    <t>Redirecionamento</t>
  </si>
  <si>
    <t>Atividades</t>
  </si>
  <si>
    <t>Captar contato correto</t>
  </si>
  <si>
    <t>📅 7. Encerre com um próximo passo claro</t>
  </si>
  <si>
    <t>Certo — você pode me indicar quem normalmente cuida dessa parte de SST / prevenção de riscos operacionais?</t>
  </si>
  <si>
    <t>Atender lead que demonstrou interesse e qualificar rapidamente</t>
  </si>
  <si>
    <t>✔️ O objetivo da cold call no B2B quase nunca é vender no primeiro contato — é sempre agendar uma próxima conversa ou reunião.</t>
  </si>
  <si>
    <t>Prova Social</t>
  </si>
  <si>
    <t>Gerar autoridade imediata</t>
  </si>
  <si>
    <r>
      <rPr>
        <rFont val="Arial"/>
        <color theme="1"/>
      </rPr>
      <t xml:space="preserve">A Health &amp; Safety hoje apoia empresas como CSN, Gerdau, Vale, Votorantin </t>
    </r>
    <r>
      <rPr>
        <rFont val="Arial"/>
        <color rgb="FFFF0000"/>
      </rPr>
      <t>(usar marcas do segmento do lead)</t>
    </r>
    <r>
      <rPr>
        <rFont val="Arial"/>
        <color theme="1"/>
      </rPr>
      <t xml:space="preserve"> a estruturar controle de alcoolemia e prevenção de riscos operacionais, por isso queria entender rapidinho como isso funciona aí com vocês.</t>
    </r>
  </si>
  <si>
    <t>🤝 8. Atenção ao tom de voz e ritmo</t>
  </si>
  <si>
    <t>Motivo do contato</t>
  </si>
  <si>
    <t>✔️ Tom de voz confiante (não agressivo) e ritmo claro ajudam a passar credibilidade e manter o interesse.</t>
  </si>
  <si>
    <t>Gerar relevância sem vender</t>
  </si>
  <si>
    <t>O motivo da minha ligação é entender como funciona hoje o controle de alcoolemia aí na empresa e ver se faz sentido aprofundar em uma conversa rápida.</t>
  </si>
  <si>
    <t>Diagnóstico Alcoolemia</t>
  </si>
  <si>
    <t>Pesquisa de Ativação</t>
  </si>
  <si>
    <t>Existe política?</t>
  </si>
  <si>
    <t>Mapear cenário inicial</t>
  </si>
  <si>
    <t>Hoje vocês já têm alguma política ou rotina de testes de alcoolemia?</t>
  </si>
  <si>
    <t>x</t>
  </si>
  <si>
    <t>Diagnóstico Alcoolemia (se SIM)</t>
  </si>
  <si>
    <t>Ligação de Reativação (base)</t>
  </si>
  <si>
    <t>Como funciona hoje</t>
  </si>
  <si>
    <t>Entender processo atual</t>
  </si>
  <si>
    <t>Legal — hoje isso acontece como? É rotina, só em suspeita ou pontual?</t>
  </si>
  <si>
    <t>Ligação Follow Up</t>
  </si>
  <si>
    <t>Responsável pela medição</t>
  </si>
  <si>
    <t>Mapear operação</t>
  </si>
  <si>
    <t>Avançar negociação ou destravar próxima etapa</t>
  </si>
  <si>
    <t>Quem normalmente faz as medições: equipe interna ou já é automatizado?</t>
  </si>
  <si>
    <t>Volume de testes</t>
  </si>
  <si>
    <t>Dimensionar escopo</t>
  </si>
  <si>
    <t>Em média, quantas pessoas passam por teste por mês? Ou % da equipe?</t>
  </si>
  <si>
    <t>Reunião Diagnóstico + Proposta</t>
  </si>
  <si>
    <t>Dor principal</t>
  </si>
  <si>
    <t>Entender cenário, validar fit e apresentar solução inicial</t>
  </si>
  <si>
    <t>Mapear gargalos</t>
  </si>
  <si>
    <t>Realizada
No-show cliente
Reagendada
Cancelada</t>
  </si>
  <si>
    <t>E hoje, qual é o maior desafio desse processo pra vocês? Controle, registro, tempo parado, custo, adesão do time?</t>
  </si>
  <si>
    <t>Participou decisor
Participou influenciador
Participou decisor + influenciador
Não participou decisor</t>
  </si>
  <si>
    <t>Incidente ou risco</t>
  </si>
  <si>
    <t>Gerar consciência de impacto</t>
  </si>
  <si>
    <t>Já aconteceu algum incidente ou quase-incidente relacionado a isso recentemente?</t>
  </si>
  <si>
    <t>Warm Mail</t>
  </si>
  <si>
    <t>Diagnóstico Alcoolemia (se NÃO)</t>
  </si>
  <si>
    <t>Necessidade atual</t>
  </si>
  <si>
    <t>Mapear prioridade</t>
  </si>
  <si>
    <t>Reunião Técninca com TI</t>
  </si>
  <si>
    <t>Entendi, hoje isso ainda não é estruturado. Existe essa necessidade na operação de vocês ou ainda não virou prioridade?</t>
  </si>
  <si>
    <t>Validar viabilidade técnica e remover barreiras para avanço</t>
  </si>
  <si>
    <t>Gatilho de interesse</t>
  </si>
  <si>
    <t>Entender motivador</t>
  </si>
  <si>
    <t>O que normalmente faz esse tema entrar na pauta aí dentro: auditoria, exigência de cliente, crescimento ou algum evento?</t>
  </si>
  <si>
    <t>Mapear impacto</t>
  </si>
  <si>
    <t>Já tiveram alguma situação de risco que levantou essa discussão?</t>
  </si>
  <si>
    <t>Warm Call Manhã</t>
  </si>
  <si>
    <t>Diagnóstico Operação</t>
  </si>
  <si>
    <t>Tamanho da operação</t>
  </si>
  <si>
    <t>Hoje vocês têm mais ou menos quantas pessoas em operação direta?</t>
  </si>
  <si>
    <t>Vocês tem mais de uma unidade ou filial?</t>
  </si>
  <si>
    <t>Warm Call Tarde</t>
  </si>
  <si>
    <t>Conexão de Valor</t>
  </si>
  <si>
    <t>Resumo do cenário</t>
  </si>
  <si>
    <t>Conectar dor com solução</t>
  </si>
  <si>
    <t>O que a gente costuma ver é que, quando não existe processo, o risco fica invisível, e quando existe, o desafio vira controle e escala. Por isso fazemos um diagnóstico rápido pra desenhar o melhor modelo pra cada operação.</t>
  </si>
  <si>
    <t>Add Linkedin + NP</t>
  </si>
  <si>
    <t>Fechamento</t>
  </si>
  <si>
    <t>Decisores</t>
  </si>
  <si>
    <t>Mapear stakeholders</t>
  </si>
  <si>
    <t>Além de você, quem mais costuma participar desse tipo de decisão aí? RH, operações, diretoria?</t>
  </si>
  <si>
    <t>Proposta de diagnóstico</t>
  </si>
  <si>
    <t>Avançar para próxima etapa</t>
  </si>
  <si>
    <t xml:space="preserve">Pelo que você me contou, acho que vale uma conversa pra entender melhor seu cenário e te apresentar a melhor solução. </t>
  </si>
  <si>
    <t>Msg Linkedin / Inmail</t>
  </si>
  <si>
    <t>Data e horário</t>
  </si>
  <si>
    <t>Confirmar reunião</t>
  </si>
  <si>
    <t>Você tem disponibilidade amanhã x horario, ou no dia Y x horario? Sempre dar opções</t>
  </si>
  <si>
    <t>Envio de convite</t>
  </si>
  <si>
    <t>Fechar próximo passo</t>
  </si>
  <si>
    <t>Perfeito, então ficou {dia} às {hora}. Me passa seu contato para te enviar o convite por WhatsApp e e-mail? Pegar os dados</t>
  </si>
  <si>
    <t>Msg Whatsapp</t>
  </si>
  <si>
    <t>Fechamento da ligação</t>
  </si>
  <si>
    <t>Finalizar com clareza</t>
  </si>
  <si>
    <t>Obrigada pelo tempo, {Nome}. Vou te enviar o convite agora, se tiver alguma dúvida antes da reunião pode me acionar.</t>
  </si>
  <si>
    <t>Áudio Whatsapp</t>
  </si>
  <si>
    <t xml:space="preserve">                                  Cadência Outbound</t>
  </si>
  <si>
    <t>Dia 7</t>
  </si>
  <si>
    <t>Dia 9</t>
  </si>
  <si>
    <t>Dia 11</t>
  </si>
  <si>
    <t>Dia 13</t>
  </si>
  <si>
    <t>Cold Mail</t>
  </si>
  <si>
    <t>Cold Call Manhã</t>
  </si>
  <si>
    <t>Cold Call Tarde</t>
  </si>
  <si>
    <t>Notas</t>
  </si>
  <si>
    <t xml:space="preserve">1) Toda mensagem enviada no linkedin deve ir acompanhada de duas ações sociais (curtir, comentar, compartilhar etc) </t>
  </si>
  <si>
    <t>2) Quando tiver telefone fixo e celular, intercale as ligações entre os dois meios de comunicação</t>
  </si>
  <si>
    <t>3) Nas cadencia de inbound ativo, as ligações são as atividades mais prioritárias para o dia. Sempre deve ser priorizada a ligação</t>
  </si>
  <si>
    <t>4) A atividade 'warm call manhã' deverá ser realizada imediatamente após a ativação do lead inbound independente do horário do dia</t>
  </si>
  <si>
    <t>Legenda:</t>
  </si>
  <si>
    <t>Legenda</t>
  </si>
  <si>
    <r>
      <rPr>
        <rFont val="Arial"/>
        <b/>
        <color theme="1"/>
      </rPr>
      <t xml:space="preserve">NP: </t>
    </r>
    <r>
      <rPr>
        <rFont val="Arial"/>
        <b val="0"/>
        <color theme="1"/>
      </rPr>
      <t>Nota Personalizada enviada junto ao convite de conexão no Linkedin</t>
    </r>
  </si>
  <si>
    <r>
      <rPr>
        <rFont val="Arial"/>
        <b/>
        <color theme="1"/>
      </rPr>
      <t>Inmail:</t>
    </r>
    <r>
      <rPr>
        <rFont val="Arial"/>
        <b val="0"/>
        <color theme="1"/>
      </rPr>
      <t xml:space="preserve"> Disponível apenas nas contas pagas do linkedin e serve para enviar mensagens para quem ainda não é a sua conexão de 1º grau</t>
    </r>
  </si>
  <si>
    <t>Cold/Warm Mail</t>
  </si>
  <si>
    <r>
      <rPr>
        <rFont val="Arial"/>
        <b/>
        <color theme="1"/>
      </rPr>
      <t xml:space="preserve">Social Point: </t>
    </r>
    <r>
      <rPr>
        <rFont val="Arial"/>
        <b val="0"/>
        <color theme="1"/>
      </rPr>
      <t>Toda mensagem em rede social (linkedin, whatsapp) é considerado um social point</t>
    </r>
  </si>
  <si>
    <t>Cold/Warm Call</t>
  </si>
  <si>
    <t>Social Point</t>
  </si>
  <si>
    <t xml:space="preserve">                                  Cadência Acompanhamento Pós Proposta</t>
  </si>
  <si>
    <t>Dia 8</t>
  </si>
  <si>
    <t>Dia 12</t>
  </si>
  <si>
    <t>Dia 16</t>
  </si>
  <si>
    <t>Dia 21</t>
  </si>
  <si>
    <t>Dia 30</t>
  </si>
  <si>
    <t>Email Recap Proposta</t>
  </si>
  <si>
    <t>Warm Call</t>
  </si>
  <si>
    <t xml:space="preserve">                                  Cadência Reativação</t>
  </si>
  <si>
    <t>Subbloco</t>
  </si>
  <si>
    <t>Apresentação | Slide(s) e orientação</t>
  </si>
  <si>
    <t>5 min | Abertura</t>
  </si>
  <si>
    <t>Apresentação do(a) vendedor(a)</t>
  </si>
  <si>
    <t>Gerar conexão e contextualizar rapidamente quem conduzirá a conversa.</t>
  </si>
  <si>
    <t>Olá, [nome], obrigado pelo tempo. Eu sou [nome], [cargo] na Health and Safety. Antes de mostrar o produto, quero entender rapidamente a operação de vocês para focar a demonstração no que realmente importa. Tudo bem?</t>
  </si>
  <si>
    <t>Pitch de autoridade Health and Safety</t>
  </si>
  <si>
    <t>Construir confiança sem alongar a apresentação institucional.</t>
  </si>
  <si>
    <t xml:space="preserve">A Health and Safety tem mais de 20 anos, ajuda operações de alto risco a automatizar e dar rastreabilidade ao controle de álcool. </t>
  </si>
  <si>
    <t>Agenda e contrato da conversa</t>
  </si>
  <si>
    <t>Alinhar uma reunião única de Diagnóstico + Demonstração + Proposta e obter permissão para fazer perguntas.</t>
  </si>
  <si>
    <t>Temos cerca de [40–50] minutos. Minha sugestão é: 10 a 15 minutos para entender o cenário, depois mostro o Phoebus aplicado à realidade de vocês e, se houver aderência, fechamos com investimento e próximos passos. Faz sentido?</t>
  </si>
  <si>
    <t>Mapeamento de stakeholders</t>
  </si>
  <si>
    <t>Identificar papéis presentes, decisores e influenciadores logo no início.</t>
  </si>
  <si>
    <t>Antes de começarmos, qual é o papel de cada pessoa nesta avaliação? Quem responde pelo processo hoje e quem mais participa da decisão ou da validação técnica?</t>
  </si>
  <si>
    <t>10–15 min | Diagnóstico</t>
  </si>
  <si>
    <t>Situação | Contexto do SDR e gatilho</t>
  </si>
  <si>
    <t>Confirmar o contexto levantado pelo SDR, entender o gatilho e evitar perguntas repetidas.</t>
  </si>
  <si>
    <t>Conforme alinhado com [nome do SDR], entendemos que [resumo do contexto]. Confere? O que mudou ou ficou de fora? E o que vocês gostariam de sair entendendo sobre o Phoebus ao final desta conversa?</t>
  </si>
  <si>
    <t>Situação | Processo atual (com bifurcação)</t>
  </si>
  <si>
    <t>Entender se já existe testagem e adaptar o diagnóstico aos dois cenários.</t>
  </si>
  <si>
    <t>Vocês já realizam testes de álcool hoje?
Se SIM: como funciona desde a chegada do colaborador até a liberação? Quem aplica, registra e trata um positivo?
Se NÃO: o que motivou a implantação agora? Quem será testado e como imaginam o processo de liberação e contraprova?</t>
  </si>
  <si>
    <t>Situação | Histórico, escala e cobertura</t>
  </si>
  <si>
    <t>Dimensionar risco, volume, picos, unidades e abrangência da testagem.</t>
  </si>
  <si>
    <t>Já houve algum incidente, quase acidente ou situação de risco relacionada ao consumo de álcool? Sem entrar em detalhes sensíveis, o que aconteceu e o que mudou depois disso?
Quantos funcionários você tem hoje e quantas pessoas precisam ser testadas, em quantas unidades ou pontos de acesso? Quais são os horários de pico? A cobertura será de 100% do efetivo ou de grupos específicos?</t>
  </si>
  <si>
    <t>Situação | Infraestrutura e integrações</t>
  </si>
  <si>
    <t>Entender o ambiente em que a solução deverá operar.</t>
  </si>
  <si>
    <t>Hoje vocês usam catraca, ponto, reconhecimento facial, cartão, telemetria ou outro controle de acesso? Há internet e energia nos pontos previstos? Existe algum sistema com o qual a solução precisaria conversar?</t>
  </si>
  <si>
    <t>Situação | Governança do processo</t>
  </si>
  <si>
    <t>Mapear responsáveis, acesso à informação e tratamento de exceções.</t>
  </si>
  <si>
    <t>Quem precisa receber alertas e acompanhar os testes? Como funciona a contraprova e quem pode consultar ou administrar os registros?</t>
  </si>
  <si>
    <t>Dor | Gargalo operacional</t>
  </si>
  <si>
    <t>Identificar a principal fricção do processo atual.</t>
  </si>
  <si>
    <t>O que mais incomoda no modelo atual: tempo de testagem, necessidade de uma pessoa acompanhando, filas, registro manual, calibração ou dificuldade de cobrir todos os turnos?</t>
  </si>
  <si>
    <t>Dor | Confiabilidade e controle</t>
  </si>
  <si>
    <t>Explorar falhas de evidência, fraude e cobertura.</t>
  </si>
  <si>
    <t>Em que situações vocês sentem que o processo pode falhar ou ser burlado? Já houve teste sem identificação, registro incompleto ou colaborador que iniciou a jornada sem testar?</t>
  </si>
  <si>
    <t>Dor | Visibilidade e auditoria</t>
  </si>
  <si>
    <t>Entender limitações de gestão e rastreabilidade.</t>
  </si>
  <si>
    <t>Se a gestão ou uma auditoria pedir agora o histórico de um colaborador ou de uma unidade, quanto tempo leva para localizar? O que vocês ainda controlam em papel, cupom ou planilha?</t>
  </si>
  <si>
    <t>Impacto | Segurança</t>
  </si>
  <si>
    <t>Conectar a dor ao risco para pessoas e operação.</t>
  </si>
  <si>
    <t>Quando esse controle falha, qual é o risco real para colaboradores, passageiros, terceiros ou para a continuidade da operação? Já houve algum quase acidente ou situação crítica relacionada?</t>
  </si>
  <si>
    <t>Impacto | Produtividade e custo</t>
  </si>
  <si>
    <t>Quantificar esforço, filas, mão de obra e interrupções.</t>
  </si>
  <si>
    <t>Quanto tempo e quantas pessoas o processo consome hoje? Em um pico, qual é o efeito sobre fila, início de turno ou produtividade? Existe custo com hora extra, equipe dedicada ou paralisação?</t>
  </si>
  <si>
    <t>Impacto | Gestão, auditoria e exposição</t>
  </si>
  <si>
    <t>Evidenciar as consequências gerenciais, jurídicas e reputacionais.</t>
  </si>
  <si>
    <t>Que consequência uma evidência incompleta pode gerar em auditoria, fiscalização ou ação trabalhista? Quem é cobrado internamente quando isso acontece?</t>
  </si>
  <si>
    <t>Síntese do diagnóstico</t>
  </si>
  <si>
    <t>Confirmar a prioridade antes de iniciar a demonstração.</t>
  </si>
  <si>
    <t>Então, o ponto central é [dor], que hoje provoca [impacto], em uma operação com [volume/unidades]. É isso ou existe algo mais importante que eu ainda não captei?</t>
  </si>
  <si>
    <t>15–20 min | Demonstração</t>
  </si>
  <si>
    <t>Ponte diagnóstico → produto</t>
  </si>
  <si>
    <t>Conectar as dores priorizadas aos tópicos que serão demonstrados.</t>
  </si>
  <si>
    <t>Pelo que vocês trouxeram, vou focar a demonstração em [dor 1], [dor 2] e [requisito]. Não vou passar por todo o produto; se algo não aderir à rotina, me interrompam para validarmos juntos.</t>
  </si>
  <si>
    <t>Slide 1 | Abrir a apresentação e conectar o diagnóstico à demonstração</t>
  </si>
  <si>
    <t>Cases e prova de capacidade</t>
  </si>
  <si>
    <t>Reduzir risco percebido por meio de escala e referências comparáveis.</t>
  </si>
  <si>
    <t>O Phoebus já realizou mais de 20 milhões de testes e possui mais de 145 mil usuários cadastrados. A solução está em operações de mineração, siderurgia, logística e transporte. Mais parecido com a operação de vocês, nós temos o cliente X, Y...</t>
  </si>
  <si>
    <t>Slide 2 | Clientes que confiam na marca — prova de capacidade</t>
  </si>
  <si>
    <t>Benefício | Diferencial e cenário imaginado</t>
  </si>
  <si>
    <t>Contrastar o modelo atual com o futuro desejado e fazer o lead visualizar o novo fluxo.</t>
  </si>
  <si>
    <t>Hoje vocês têm [retomar processo/dor]. Com o Phoebus, o colaborador se identifica, realiza o teste e o resultado é registrado automaticamente. Se positivo, o fluxo definido por vocês é acionado. Onde essa mudança geraria mais impacto?</t>
  </si>
  <si>
    <t>Slide 3 | Phoebus x processo manual</t>
  </si>
  <si>
    <t>Benefício | Identificação, autonomia e rastreabilidade</t>
  </si>
  <si>
    <t>Demonstrar cobertura contínua e evidência confiável.</t>
  </si>
  <si>
    <t>[Mostrar reconhecimento facial/cartão, foto do sopro e operação autônoma.] O equipamento funciona 24/7 e o teste segue direto para a plataforma, sem edição. Isso atende ao nível de controle esperado? O que mudaria na rotina da equipe?</t>
  </si>
  <si>
    <t>Slide 4 | Inovação</t>
  </si>
  <si>
    <t>Benefício | Sistemas de acesso e integração</t>
  </si>
  <si>
    <t>Validar como o Phoebus se conecta à infraestrutura existente.</t>
  </si>
  <si>
    <t>[Mostrar sistemas de acesso e, se aplicável, Phoebus Link.] Vocês poderiam usar reconhecimento facial ou cartão e integrar à catraca para liberar ou bloquear o acesso. Qual opção faz mais sentido? Há algum sistema que o time técnico precisará validar?</t>
  </si>
  <si>
    <t>Slides 5 | Sistemas de acesso</t>
  </si>
  <si>
    <t>Benefício | Cenários de instalação</t>
  </si>
  <si>
    <t>Escolher o cenário físico mais aderente à jornada do colaborador.</t>
  </si>
  <si>
    <t>[Mostrar parede e catraca.] Pensando no fluxo que vocês descreveram, onde o equipamento ficaria? Quantos acessos precisam ser cobertos e existe concentração simultânea de pessoas?</t>
  </si>
  <si>
    <t>Slide 6 | Cenários: parede ou catraca</t>
  </si>
  <si>
    <t>Benefício | Funcionamento, velocidade e contingência</t>
  </si>
  <si>
    <t>Validar a experiência prática, a capacidade nos picos e a continuidade offline.</t>
  </si>
  <si>
    <t>[Exibir o vídeo.] O Phoebus realiza, em média, 10 a 12 testes por minuto e continua testando offline; os dados sincronizam quando a conexão retorna. Considerando o pico de [volume], essa capacidade atende? O que vocês observaram no fluxo?</t>
  </si>
  <si>
    <t>Slide 7 | Phoebus Link (se integração for relevante)
Slide 8 | Vídeo do funcionamento</t>
  </si>
  <si>
    <t>Benefício | Plataforma, alertas e governança</t>
  </si>
  <si>
    <t>Conectar registros, alertas, relatórios e perfis às necessidades de gestão.</t>
  </si>
  <si>
    <t>[Mostrar plataforma e perfis.] É possível acompanhar histórico, foto do sopro, filtros por colaborador/unidade e alertas por e-mail ou WhatsApp, além de separar administradores e supervisores. Que informação e quais perfis vocês precisam priorizar?</t>
  </si>
  <si>
    <t>Slides 9–10 | Plataforma exclusiva + funções dos usuários</t>
  </si>
  <si>
    <t>Benefício | Calibração, kit e suporte</t>
  </si>
  <si>
    <t>Reduzir insegurança sobre implantação e continuidade operacional.</t>
  </si>
  <si>
    <t>[Mostrar calibração e kit.] A calibração anual ocorre pela troca do módulo, sem retirar o equipamento da operação. O time apoia setup e cadastro em massa. O que sua equipe precisa receber ou validar para implantar com segurança?</t>
  </si>
  <si>
    <t>Slides 11–12 | Calibração + kit</t>
  </si>
  <si>
    <t>Validação de percepção e dimensionamento</t>
  </si>
  <si>
    <t>Confirmar valor percebido, identificar lacunas e dimensionar unidades antes do preço.</t>
  </si>
  <si>
    <t>Do que vimos, o que mais gerou valor e o que ainda precisa ficar claro? Pelo fluxo desenhado, estamos falando de [X] equipamentos em [Y] unidades/pontos. Essa configuração cobre a operação, inclusive picos e expansões?</t>
  </si>
  <si>
    <t>Retomar slides 6–7 se necessário | Validar quantidade e integrações</t>
  </si>
  <si>
    <t>Preço condicionado | Referência comercial</t>
  </si>
  <si>
    <t>Apresentar o investimento no contexto da quantidade validada e testar aderência.</t>
  </si>
  <si>
    <t>Para compra, a referência é R$ 24.500 por equipamento, incluindo o primeiro ano de plataforma e calibração. Após 12 meses, o custo anual é de R$ 3.200 por equipamento. A locação pode ser avaliada a partir de 10 equipamentos, e integrações específicas são orçadas à parte. Como essa configuração se compara ao investimento que vocês imaginavam?</t>
  </si>
  <si>
    <t>10 min | Fechamento</t>
  </si>
  <si>
    <t>Evento crítico</t>
  </si>
  <si>
    <t>Identificar prazo, marco e consequência de postergação.</t>
  </si>
  <si>
    <t>Existe alguma data, auditoria, início de operação, renovação, safra ou exigência de cliente que determine quando isso precisa estar funcionando? O que acontece se não estiver pronto até lá?</t>
  </si>
  <si>
    <t>Preço e condições</t>
  </si>
  <si>
    <t>Confirmar compreensão do investimento e isolar a objeção real.</t>
  </si>
  <si>
    <t>Considerando [X] equipamentos, o investimento estimado é [valor total], além de [integração, se aplicável]. Esse desenho atende ao escopo? O que vocês precisam analisar para concluir se o investimento faz sentido? Há alguma condição comercial indispensável?</t>
  </si>
  <si>
    <t>Processo decisório</t>
  </si>
  <si>
    <t>Mapear pessoas, critérios, orçamento e etapas formais da compra.</t>
  </si>
  <si>
    <t>Como uma compra como essa é aprovada internamente? Quem decide, quem influencia e quem valida tecnicamente? Existe orçamento previsto? Compras ou jurídico entram em qual momento?</t>
  </si>
  <si>
    <t>Riscos e pontos pendentes</t>
  </si>
  <si>
    <t>Trazer objeções para a conversa e evitar follow-up sem clareza.</t>
  </si>
  <si>
    <t>O que poderia impedir esse projeto de avançar? Entre aderência técnica, integração, prazo e investimento, o que ainda representa maior risco para vocês?</t>
  </si>
  <si>
    <t>Validação técnica adicional — se necessária</t>
  </si>
  <si>
    <t>Abrir uma segunda reunião apenas quando houver uma questão técnica não resolvida.</t>
  </si>
  <si>
    <t>Há alguma validação de TI, integração, segurança da informação ou operação que não conseguimos concluir hoje? Se sim, fazemos uma reunião técnica objetiva: quem precisa participar e quais perguntas precisam ser respondidas?</t>
  </si>
  <si>
    <t>Próximo passo com compromisso</t>
  </si>
  <si>
    <t>Encerrar com ação, responsável e data definidos.</t>
  </si>
  <si>
    <t>Então o próximo passo é [ação], com [responsáveis], até [data]. Podemos deixar agora a reunião ou retorno agendado para [dia e horário]? O que cada lado precisa levar para essa etapa?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</si>
</sst>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FFFFFF"/>
      <name val="Arial"/>
      <scheme val="minor"/>
    </font>
    <font/>
    <font>
      <color rgb="FFFFFFFF"/>
      <name val="Arial"/>
      <scheme val="minor"/>
    </font>
    <font>
      <b/>
      <sz val="11.0"/>
      <color rgb="FFF96500"/>
      <name val="Arial"/>
      <scheme val="minor"/>
    </font>
    <font>
      <sz val="12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FF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26265"/>
        <bgColor rgb="FF326265"/>
      </patternFill>
    </fill>
    <fill>
      <patternFill patternType="solid">
        <fgColor rgb="FF31CED5"/>
        <bgColor rgb="FF31CED5"/>
      </patternFill>
    </fill>
    <fill>
      <patternFill patternType="solid">
        <fgColor rgb="FFF8745B"/>
        <bgColor rgb="FFF8745B"/>
      </patternFill>
    </fill>
    <fill>
      <patternFill patternType="solid">
        <fgColor rgb="FF009EA1"/>
        <bgColor rgb="FF009EA1"/>
      </patternFill>
    </fill>
    <fill>
      <patternFill patternType="solid">
        <fgColor rgb="FFEFEFEF"/>
        <bgColor rgb="FFEFEFEF"/>
      </patternFill>
    </fill>
    <fill>
      <patternFill patternType="solid">
        <fgColor rgb="FFF3C79A"/>
        <bgColor rgb="FFF3C79A"/>
      </patternFill>
    </fill>
    <fill>
      <patternFill patternType="solid">
        <fgColor rgb="FFEAF9FA"/>
        <bgColor rgb="FFEAF9FA"/>
      </patternFill>
    </fill>
    <fill>
      <patternFill patternType="solid">
        <fgColor rgb="FFFFFFFF"/>
        <bgColor rgb="FFFFFFFF"/>
      </patternFill>
    </fill>
    <fill>
      <patternFill patternType="solid">
        <fgColor rgb="FFE6F5F5"/>
        <bgColor rgb="FFE6F5F5"/>
      </patternFill>
    </fill>
    <fill>
      <patternFill patternType="solid">
        <fgColor rgb="FFEAF4F8"/>
        <bgColor rgb="FFEAF4F8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dotted">
        <color rgb="FF999999"/>
      </left>
      <right style="dotted">
        <color rgb="FF999999"/>
      </right>
      <top style="dotted">
        <color rgb="FF999999"/>
      </top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tted">
        <color rgb="FF999999"/>
      </left>
      <right style="dotted">
        <color rgb="FF999999"/>
      </right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thin">
        <color rgb="FF9CB1B2"/>
      </left>
      <right style="dotted">
        <color rgb="FFD5DFE0"/>
      </right>
      <top style="thin">
        <color rgb="FF9CB1B2"/>
      </top>
      <bottom style="dotted">
        <color rgb="FFB8C8C9"/>
      </bottom>
    </border>
    <border>
      <left style="dotted">
        <color rgb="FFD5DFE0"/>
      </left>
      <right style="dotted">
        <color rgb="FFD5DFE0"/>
      </right>
      <top style="thin">
        <color rgb="FF9CB1B2"/>
      </top>
      <bottom style="dotted">
        <color rgb="FFB8C8C9"/>
      </bottom>
    </border>
    <border>
      <left style="dotted">
        <color rgb="FFD5DFE0"/>
      </left>
      <right style="thin">
        <color rgb="FF9CB1B2"/>
      </right>
      <top style="thin">
        <color rgb="FF9CB1B2"/>
      </top>
      <bottom style="dotted">
        <color rgb="FFB8C8C9"/>
      </bottom>
    </border>
    <border>
      <left style="dotted">
        <color rgb="FFB8C8C9"/>
      </left>
      <right style="dotted">
        <color rgb="FFB8C8C9"/>
      </right>
      <top style="dotted">
        <color rgb="FFB8C8C9"/>
      </top>
      <bottom style="dotted">
        <color rgb="FFB8C8C9"/>
      </bottom>
    </border>
    <border>
      <left style="thin">
        <color rgb="FF9CB1B2"/>
      </left>
      <right style="dotted">
        <color rgb="FFD5DFE0"/>
      </right>
      <top style="dotted">
        <color rgb="FFB8C8C9"/>
      </top>
      <bottom style="dotted">
        <color rgb="FFB8C8C9"/>
      </bottom>
    </border>
    <border>
      <left style="dotted">
        <color rgb="FFD5DFE0"/>
      </left>
      <right style="dotted">
        <color rgb="FFD5DFE0"/>
      </right>
      <top style="dotted">
        <color rgb="FFB8C8C9"/>
      </top>
      <bottom style="dotted">
        <color rgb="FFB8C8C9"/>
      </bottom>
    </border>
    <border>
      <left style="dotted">
        <color rgb="FFD5DFE0"/>
      </left>
      <right style="thin">
        <color rgb="FF9CB1B2"/>
      </right>
      <top style="dotted">
        <color rgb="FFB8C8C9"/>
      </top>
      <bottom style="dotted">
        <color rgb="FFB8C8C9"/>
      </bottom>
    </border>
    <border>
      <left style="thin">
        <color rgb="FF9CB1B2"/>
      </left>
      <right style="dotted">
        <color rgb="FFD5DFE0"/>
      </right>
      <top style="dotted">
        <color rgb="FFB8C8C9"/>
      </top>
      <bottom style="thin">
        <color rgb="FF9CB1B2"/>
      </bottom>
    </border>
    <border>
      <left style="dotted">
        <color rgb="FFD5DFE0"/>
      </left>
      <right style="dotted">
        <color rgb="FFD5DFE0"/>
      </right>
      <top style="dotted">
        <color rgb="FFB8C8C9"/>
      </top>
      <bottom style="thin">
        <color rgb="FF9CB1B2"/>
      </bottom>
    </border>
    <border>
      <left style="dotted">
        <color rgb="FFD5DFE0"/>
      </left>
      <right style="thin">
        <color rgb="FF9CB1B2"/>
      </right>
      <top style="dotted">
        <color rgb="FFB8C8C9"/>
      </top>
      <bottom style="thin">
        <color rgb="FF9CB1B2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3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4" fillId="3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vertical="bottom"/>
    </xf>
    <xf borderId="2" fillId="3" fontId="1" numFmtId="0" xfId="0" applyAlignment="1" applyBorder="1" applyFill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3" fillId="0" fontId="4" numFmtId="0" xfId="0" applyAlignment="1" applyBorder="1" applyFont="1">
      <alignment horizontal="center" readingOrder="0" shrinkToFit="0" vertical="center" wrapText="1"/>
    </xf>
    <xf borderId="1" fillId="4" fontId="7" numFmtId="0" xfId="0" applyBorder="1" applyFill="1" applyFont="1"/>
    <xf borderId="7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8" fillId="0" fontId="6" numFmtId="0" xfId="0" applyBorder="1" applyFont="1"/>
    <xf borderId="7" fillId="0" fontId="3" numFmtId="0" xfId="0" applyBorder="1" applyFont="1"/>
    <xf borderId="1" fillId="0" fontId="10" numFmtId="0" xfId="0" applyAlignment="1" applyBorder="1" applyFont="1">
      <alignment horizontal="center" readingOrder="0" vertical="bottom"/>
    </xf>
    <xf borderId="2" fillId="5" fontId="1" numFmtId="0" xfId="0" applyAlignment="1" applyBorder="1" applyFill="1" applyFont="1">
      <alignment horizontal="center" readingOrder="0" shrinkToFit="0" wrapText="1"/>
    </xf>
    <xf borderId="1" fillId="0" fontId="10" numFmtId="0" xfId="0" applyAlignment="1" applyBorder="1" applyFont="1">
      <alignment horizontal="center" vertical="bottom"/>
    </xf>
    <xf borderId="9" fillId="0" fontId="6" numFmtId="0" xfId="0" applyBorder="1" applyFont="1"/>
    <xf borderId="3" fillId="6" fontId="4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vertical="bottom"/>
    </xf>
    <xf borderId="10" fillId="0" fontId="6" numFmtId="0" xfId="0" applyBorder="1" applyFont="1"/>
    <xf borderId="1" fillId="7" fontId="7" numFmtId="0" xfId="0" applyAlignment="1" applyBorder="1" applyFill="1" applyFont="1">
      <alignment horizontal="center" vertical="bottom"/>
    </xf>
    <xf borderId="11" fillId="0" fontId="6" numFmtId="0" xfId="0" applyBorder="1" applyFont="1"/>
    <xf borderId="1" fillId="0" fontId="11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vertical="bottom"/>
    </xf>
    <xf borderId="1" fillId="5" fontId="7" numFmtId="0" xfId="0" applyAlignment="1" applyBorder="1" applyFill="1" applyFont="1">
      <alignment horizontal="center" readingOrder="0" vertical="bottom"/>
    </xf>
    <xf borderId="9" fillId="0" fontId="3" numFmtId="0" xfId="0" applyBorder="1" applyFont="1"/>
    <xf borderId="1" fillId="5" fontId="7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readingOrder="0" vertical="bottom"/>
    </xf>
    <xf borderId="1" fillId="2" fontId="7" numFmtId="0" xfId="0" applyAlignment="1" applyBorder="1" applyFill="1" applyFont="1">
      <alignment horizontal="center" vertical="bottom"/>
    </xf>
    <xf borderId="9" fillId="0" fontId="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1" fillId="4" fontId="7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wrapText="1"/>
    </xf>
    <xf borderId="1" fillId="0" fontId="12" numFmtId="0" xfId="0" applyAlignment="1" applyBorder="1" applyFont="1">
      <alignment vertical="bottom"/>
    </xf>
    <xf borderId="1" fillId="2" fontId="13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4" fillId="3" fontId="13" numFmtId="0" xfId="0" applyAlignment="1" applyBorder="1" applyFill="1" applyFont="1">
      <alignment horizontal="center" shrinkToFit="0" vertical="center" wrapText="1"/>
    </xf>
    <xf borderId="12" fillId="8" fontId="15" numFmtId="0" xfId="0" applyAlignment="1" applyBorder="1" applyFill="1" applyFont="1">
      <alignment shrinkToFit="0" vertical="top" wrapText="1"/>
    </xf>
    <xf borderId="13" fillId="0" fontId="16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5" fillId="9" fontId="17" numFmtId="0" xfId="0" applyAlignment="1" applyBorder="1" applyFill="1" applyFont="1">
      <alignment shrinkToFit="0" vertical="top" wrapText="1"/>
    </xf>
    <xf borderId="16" fillId="8" fontId="15" numFmtId="0" xfId="0" applyAlignment="1" applyBorder="1" applyFill="1" applyFont="1">
      <alignment shrinkToFit="0" vertical="top" wrapText="1"/>
    </xf>
    <xf borderId="17" fillId="0" fontId="16" numFmtId="0" xfId="0" applyAlignment="1" applyBorder="1" applyFont="1">
      <alignment shrinkToFit="0" vertical="top" wrapText="1"/>
    </xf>
    <xf borderId="18" fillId="0" fontId="17" numFmtId="0" xfId="0" applyAlignment="1" applyBorder="1" applyFont="1">
      <alignment readingOrder="0" shrinkToFit="0" vertical="top" wrapText="1"/>
    </xf>
    <xf borderId="18" fillId="0" fontId="17" numFmtId="0" xfId="0" applyAlignment="1" applyBorder="1" applyFont="1">
      <alignment shrinkToFit="0" vertical="top" wrapText="1"/>
    </xf>
    <xf borderId="19" fillId="8" fontId="15" numFmtId="0" xfId="0" applyAlignment="1" applyBorder="1" applyFill="1" applyFont="1">
      <alignment shrinkToFit="0" vertical="top" wrapText="1"/>
    </xf>
    <xf borderId="20" fillId="0" fontId="16" numFmtId="0" xfId="0" applyAlignment="1" applyBorder="1" applyFont="1">
      <alignment shrinkToFit="0" vertical="top" wrapText="1"/>
    </xf>
    <xf borderId="21" fillId="0" fontId="17" numFmtId="0" xfId="0" applyAlignment="1" applyBorder="1" applyFont="1">
      <alignment shrinkToFit="0" vertical="top" wrapText="1"/>
    </xf>
    <xf borderId="4" fillId="5" fontId="13" numFmtId="0" xfId="0" applyAlignment="1" applyBorder="1" applyFill="1" applyFont="1">
      <alignment horizontal="center" shrinkToFit="0" vertical="center" wrapText="1"/>
    </xf>
    <xf borderId="12" fillId="10" fontId="15" numFmtId="0" xfId="0" applyAlignment="1" applyBorder="1" applyFill="1" applyFont="1">
      <alignment shrinkToFit="0" vertical="top" wrapText="1"/>
    </xf>
    <xf borderId="16" fillId="10" fontId="15" numFmtId="0" xfId="0" applyAlignment="1" applyBorder="1" applyFill="1" applyFont="1">
      <alignment shrinkToFit="0" vertical="top" wrapText="1"/>
    </xf>
    <xf borderId="19" fillId="10" fontId="15" numFmtId="0" xfId="0" applyAlignment="1" applyBorder="1" applyFill="1" applyFont="1">
      <alignment shrinkToFit="0" vertical="top" wrapText="1"/>
    </xf>
    <xf borderId="15" fillId="11" fontId="17" numFmtId="0" xfId="0" applyAlignment="1" applyBorder="1" applyFill="1" applyFont="1">
      <alignment shrinkToFit="0" vertical="top" wrapText="1"/>
    </xf>
    <xf borderId="15" fillId="11" fontId="17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dr2@healthsafety.com.br" id="{44a58da9-31a2-4373-81e5-42f4e2c2ab2a}" providerId="google-sheets"/>
  <x18tc:person displayName="Ketlin Scalco" id="{bce80913-d752-4acf-88ef-254eec91e28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3-30T14:39:17.00" personId="{bce80913-d752-4acf-88ef-254eec91e28a}" id="{043c94c9-a69d-41a8-943b-89c47f8edaa3}" done="0">
    <x18tc:text xml:space="preserve">Sem sucesso
Não houve avanço relevante na oportunidade.
Cenários:
• Não conseguiu contato com pessoa relevante
• Conversa não gerou interesse ou continuidade
• Lead fora do ICP ou sem fit
• Não houve definição de próximo passo
• Interação não agregou informação útil para avanço
👉 Resumo prático: não avançou e não gerou aprendizado relevante</x18tc:text>
  </x18tc:threadedComment>
  <x18tc:threadedComment ref="E2" dT="2026-03-30T14:39:26.00" personId="{bce80913-d752-4acf-88ef-254eec91e28a}" id="{1800dc5c-a6a4-466f-859d-803fe6c10625}" parentId="{043c94c9-a69d-41a8-943b-89c47f8edaa3}">
    <x18tc:text xml:space="preserve">Sucesso parcial
Houve avanço limitado ou geração de informação relevante, mas sem progresso completo.
Cenários:
• Falou com pessoa não decisora, mas coletou informações úteis
• Identificou decisor, estrutura ou contexto
• Houve interesse inicial, mas sem próximo passo definido
• Próximo passo sugerido, mas não confirmado
• Interação destravou parcialmente a oportunidade
👉 Resumo prático: avançou, mas ainda não moveu o deal de verdade</x18tc:text>
  </x18tc:threadedComment>
  <x18tc:threadedComment ref="E2" dT="2026-03-30T14:39:39.00" personId="{bce80913-d752-4acf-88ef-254eec91e28a}" id="{1b72ee33-fe31-467a-826d-8a10979b5441}" parentId="{043c94c9-a69d-41a8-943b-89c47f8edaa3}">
    <x18tc:text xml:space="preserve">Sucesso total
Houve avanço claro e objetivo na oportunidade.
Cenários:
• Falou com decisor ou stakeholders relevantes
• Próximo passo definido e confirmado (ex: reunião, proposta, validação)
• Oportunidade avançou de etapa no funil
• Interesse claro e alinhamento com solução
• Interação contribuiu diretamente para evolução da venda
👉 Resumo prático: avançou etapa com próximo passo claro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7" dT="2026-02-09T18:50:02.00" personId="{44a58da9-31a2-4373-81e5-42f4e2c2ab2a}" id="{676d9cb1-3588-4def-9ef4-c8719612aa13}" done="1">
    <x18tc:text xml:space="preserve">Alterar o nome Planta, para Unidade ou Filial</x18tc:text>
  </x18tc:threadedComment>
  <x18tc:threadedComment ref="D2" dT="2026-02-09T18:42:18.00" personId="{44a58da9-31a2-4373-81e5-42f4e2c2ab2a}" id="{7d127eb5-291c-499b-8b7b-e81ec9bc7151}" done="1">
    <x18tc:text xml:space="preserve">Tiraria a frase" é um bom momento para falar"?</x18tc:text>
  </x18tc:threadedComment>
  <x18tc:threadedComment ref="D3" dT="2026-02-09T18:44:43.00" personId="{44a58da9-31a2-4373-81e5-42f4e2c2ab2a}" id="{8f178212-0b5d-4483-8742-3c375d377e27}" done="1">
    <x18tc:text xml:space="preserve">Essa pergunta deveria ser de abertura (Antes da Prova social) indo mais direto, pergunta já se é o responsável</x18tc:text>
  </x18tc:threadedComment>
  <x18tc:threadedComment ref="A16" dT="2026-02-06T12:59:53.00" personId="{bce80913-d752-4acf-88ef-254eec91e28a}" id="{70035438-9142-446a-bee3-fbba5fd03615}" done="0">
    <x18tc:text xml:space="preserve">Colocar bifurcação de aceitou reuniao ou não</x18tc:text>
  </x18tc:threadedComment>
  <x18tc:threadedComment ref="A16" dT="2026-02-06T13:00:07.00" personId="{bce80913-d752-4acf-88ef-254eec91e28a}" id="{d7a7af9d-602f-484e-ae6f-d8b62822e223}" parentId="{70035438-9142-446a-bee3-fbba5fd03615}">
    <x18tc:text xml:space="preserve">Se vai pro automatizado ou não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8.13"/>
    <col customWidth="1" min="3" max="3" width="26.88"/>
    <col customWidth="1" min="4" max="4" width="26.75"/>
    <col customWidth="1" min="5" max="5" width="14.0"/>
  </cols>
  <sheetData>
    <row r="1">
      <c r="A1" s="6" t="s">
        <v>3</v>
      </c>
      <c r="B1" s="8" t="s">
        <v>6</v>
      </c>
      <c r="C1" s="8" t="s">
        <v>8</v>
      </c>
      <c r="D1" s="8" t="s">
        <v>9</v>
      </c>
      <c r="E1" s="8" t="s">
        <v>10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12" t="s">
        <v>15</v>
      </c>
      <c r="B2" s="13" t="s">
        <v>18</v>
      </c>
      <c r="C2" s="15" t="s">
        <v>19</v>
      </c>
      <c r="D2" s="15" t="s">
        <v>23</v>
      </c>
      <c r="E2" s="15" t="s">
        <v>29</v>
      </c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27" t="s">
        <v>39</v>
      </c>
      <c r="B3" s="30" t="s">
        <v>45</v>
      </c>
      <c r="C3" s="33"/>
      <c r="D3" s="33"/>
      <c r="E3" s="33"/>
      <c r="F3" s="2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12" t="s">
        <v>62</v>
      </c>
      <c r="B4" s="13" t="s">
        <v>45</v>
      </c>
      <c r="C4" s="33"/>
      <c r="D4" s="33"/>
      <c r="E4" s="33"/>
      <c r="F4" s="2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27" t="s">
        <v>66</v>
      </c>
      <c r="B5" s="30" t="s">
        <v>69</v>
      </c>
      <c r="C5" s="35"/>
      <c r="D5" s="35"/>
      <c r="E5" s="33"/>
      <c r="F5" s="2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2" t="s">
        <v>74</v>
      </c>
      <c r="B6" s="13" t="s">
        <v>76</v>
      </c>
      <c r="C6" s="15" t="s">
        <v>78</v>
      </c>
      <c r="D6" s="15" t="s">
        <v>80</v>
      </c>
      <c r="E6" s="33"/>
      <c r="F6" s="2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27" t="s">
        <v>88</v>
      </c>
      <c r="B7" s="30" t="s">
        <v>90</v>
      </c>
      <c r="C7" s="35"/>
      <c r="D7" s="35"/>
      <c r="E7" s="35"/>
      <c r="F7" s="2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0"/>
      <c r="C8" s="40"/>
      <c r="D8" s="40"/>
      <c r="E8" s="4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C2:C5"/>
    <mergeCell ref="D2:D5"/>
    <mergeCell ref="E2:E7"/>
    <mergeCell ref="C6:C7"/>
    <mergeCell ref="D6:D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20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22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24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28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46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50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52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3.25"/>
    <col customWidth="1" min="3" max="3" width="27.88"/>
    <col customWidth="1" min="4" max="4" width="67.88"/>
  </cols>
  <sheetData>
    <row r="1">
      <c r="A1" s="1" t="s">
        <v>0</v>
      </c>
      <c r="B1" s="3" t="s">
        <v>2</v>
      </c>
      <c r="C1" s="5" t="s">
        <v>4</v>
      </c>
      <c r="D1" s="5" t="s">
        <v>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11</v>
      </c>
      <c r="B2" s="14" t="s">
        <v>13</v>
      </c>
      <c r="C2" s="19" t="s">
        <v>25</v>
      </c>
      <c r="D2" s="19" t="s">
        <v>26</v>
      </c>
      <c r="E2" s="2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4"/>
      <c r="B3" s="14" t="s">
        <v>31</v>
      </c>
      <c r="C3" s="19" t="s">
        <v>32</v>
      </c>
      <c r="D3" s="19" t="s">
        <v>33</v>
      </c>
      <c r="E3" s="2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4"/>
      <c r="B4" s="14" t="s">
        <v>40</v>
      </c>
      <c r="C4" s="19" t="s">
        <v>42</v>
      </c>
      <c r="D4" s="19" t="s">
        <v>44</v>
      </c>
      <c r="E4" s="2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4"/>
      <c r="B5" s="14" t="s">
        <v>47</v>
      </c>
      <c r="C5" s="19" t="s">
        <v>48</v>
      </c>
      <c r="D5" s="19" t="s">
        <v>49</v>
      </c>
      <c r="E5" s="2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9"/>
      <c r="B6" s="14" t="s">
        <v>51</v>
      </c>
      <c r="C6" s="19" t="s">
        <v>53</v>
      </c>
      <c r="D6" s="19" t="s">
        <v>54</v>
      </c>
      <c r="E6" s="2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1" t="s">
        <v>55</v>
      </c>
      <c r="B7" s="14" t="s">
        <v>57</v>
      </c>
      <c r="C7" s="19" t="s">
        <v>58</v>
      </c>
      <c r="D7" s="19" t="s">
        <v>59</v>
      </c>
      <c r="E7" s="2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61</v>
      </c>
      <c r="B8" s="14" t="s">
        <v>63</v>
      </c>
      <c r="C8" s="19" t="s">
        <v>64</v>
      </c>
      <c r="D8" s="19" t="s">
        <v>65</v>
      </c>
      <c r="E8" s="21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4"/>
      <c r="B9" s="14" t="s">
        <v>67</v>
      </c>
      <c r="C9" s="19" t="s">
        <v>68</v>
      </c>
      <c r="D9" s="19" t="s">
        <v>70</v>
      </c>
      <c r="E9" s="21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4"/>
      <c r="B10" s="14" t="s">
        <v>71</v>
      </c>
      <c r="C10" s="19" t="s">
        <v>72</v>
      </c>
      <c r="D10" s="19" t="s">
        <v>73</v>
      </c>
      <c r="E10" s="2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/>
      <c r="B11" s="14" t="s">
        <v>75</v>
      </c>
      <c r="C11" s="19" t="s">
        <v>77</v>
      </c>
      <c r="D11" s="19" t="s">
        <v>79</v>
      </c>
      <c r="E11" s="2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9"/>
      <c r="B12" s="14" t="s">
        <v>81</v>
      </c>
      <c r="C12" s="19" t="s">
        <v>82</v>
      </c>
      <c r="D12" s="19" t="s">
        <v>83</v>
      </c>
      <c r="E12" s="2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85</v>
      </c>
      <c r="B13" s="14" t="s">
        <v>86</v>
      </c>
      <c r="C13" s="19" t="s">
        <v>87</v>
      </c>
      <c r="D13" s="19" t="s">
        <v>89</v>
      </c>
      <c r="E13" s="2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4"/>
      <c r="B14" s="14" t="s">
        <v>91</v>
      </c>
      <c r="C14" s="19" t="s">
        <v>92</v>
      </c>
      <c r="D14" s="19" t="s">
        <v>93</v>
      </c>
      <c r="E14" s="2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9"/>
      <c r="B15" s="14" t="s">
        <v>81</v>
      </c>
      <c r="C15" s="19" t="s">
        <v>94</v>
      </c>
      <c r="D15" s="19" t="s">
        <v>95</v>
      </c>
      <c r="E15" s="2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 t="s">
        <v>97</v>
      </c>
      <c r="B16" s="14" t="s">
        <v>98</v>
      </c>
      <c r="C16" s="19" t="s">
        <v>72</v>
      </c>
      <c r="D16" s="19" t="s">
        <v>99</v>
      </c>
      <c r="E16" s="2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9"/>
      <c r="B17" s="14" t="s">
        <v>98</v>
      </c>
      <c r="C17" s="19" t="s">
        <v>72</v>
      </c>
      <c r="D17" s="19" t="s">
        <v>100</v>
      </c>
      <c r="E17" s="2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1" t="s">
        <v>102</v>
      </c>
      <c r="B18" s="14" t="s">
        <v>103</v>
      </c>
      <c r="C18" s="19" t="s">
        <v>104</v>
      </c>
      <c r="D18" s="19" t="s">
        <v>105</v>
      </c>
      <c r="E18" s="2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 t="s">
        <v>107</v>
      </c>
      <c r="B19" s="14" t="s">
        <v>108</v>
      </c>
      <c r="C19" s="19" t="s">
        <v>109</v>
      </c>
      <c r="D19" s="19" t="s">
        <v>110</v>
      </c>
      <c r="E19" s="2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4"/>
      <c r="B20" s="14" t="s">
        <v>111</v>
      </c>
      <c r="C20" s="19" t="s">
        <v>112</v>
      </c>
      <c r="D20" s="19" t="s">
        <v>113</v>
      </c>
      <c r="E20" s="2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4"/>
      <c r="B21" s="14" t="s">
        <v>115</v>
      </c>
      <c r="C21" s="19" t="s">
        <v>116</v>
      </c>
      <c r="D21" s="19" t="s">
        <v>117</v>
      </c>
      <c r="E21" s="2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4"/>
      <c r="B22" s="14" t="s">
        <v>118</v>
      </c>
      <c r="C22" s="19" t="s">
        <v>119</v>
      </c>
      <c r="D22" s="19" t="s">
        <v>120</v>
      </c>
      <c r="E22" s="2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9"/>
      <c r="B23" s="14" t="s">
        <v>122</v>
      </c>
      <c r="C23" s="19" t="s">
        <v>123</v>
      </c>
      <c r="D23" s="19" t="s">
        <v>124</v>
      </c>
      <c r="E23" s="2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44"/>
      <c r="D24" s="4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mergeCells count="5">
    <mergeCell ref="A2:A6"/>
    <mergeCell ref="A8:A12"/>
    <mergeCell ref="A13:A15"/>
    <mergeCell ref="A16:A17"/>
    <mergeCell ref="A19:A2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75"/>
    <col customWidth="1" min="10" max="10" width="21.0"/>
  </cols>
  <sheetData>
    <row r="1">
      <c r="A1" s="1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/>
      <c r="B2" s="16" t="s">
        <v>21</v>
      </c>
      <c r="C2" s="17"/>
      <c r="D2" s="17"/>
      <c r="E2" s="17"/>
      <c r="F2" s="17"/>
      <c r="G2" s="17"/>
      <c r="H2" s="17"/>
      <c r="I2" s="18"/>
      <c r="J2" s="2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22"/>
      <c r="C3" s="23">
        <v>2.0</v>
      </c>
      <c r="D3" s="23">
        <v>3.0</v>
      </c>
      <c r="E3" s="23">
        <v>4.0</v>
      </c>
      <c r="F3" s="23">
        <v>5.0</v>
      </c>
      <c r="G3" s="23">
        <v>6.0</v>
      </c>
      <c r="H3" s="23">
        <v>7.0</v>
      </c>
      <c r="I3" s="23">
        <v>8.0</v>
      </c>
      <c r="J3" s="1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26" t="s">
        <v>34</v>
      </c>
      <c r="D4" s="26" t="s">
        <v>35</v>
      </c>
      <c r="E4" s="26" t="s">
        <v>36</v>
      </c>
      <c r="F4" s="26" t="s">
        <v>37</v>
      </c>
      <c r="G4" s="26" t="s">
        <v>38</v>
      </c>
      <c r="H4" s="26"/>
      <c r="I4" s="26"/>
      <c r="J4" s="28" t="s">
        <v>41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32" t="s">
        <v>56</v>
      </c>
      <c r="C5" s="32" t="s">
        <v>60</v>
      </c>
      <c r="D5" s="34"/>
      <c r="E5" s="34"/>
      <c r="F5" s="34"/>
      <c r="G5" s="34"/>
      <c r="H5" s="34"/>
      <c r="I5" s="34"/>
      <c r="J5" s="36">
        <f t="shared" ref="J5:J12" si="1">COUNTIF(C5:I5,"x")</f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37" t="s">
        <v>84</v>
      </c>
      <c r="C6" s="37" t="s">
        <v>60</v>
      </c>
      <c r="D6" s="38"/>
      <c r="E6" s="37" t="s">
        <v>60</v>
      </c>
      <c r="F6" s="37"/>
      <c r="G6" s="37" t="s">
        <v>60</v>
      </c>
      <c r="H6" s="38"/>
      <c r="I6" s="38"/>
      <c r="J6" s="36">
        <f t="shared" si="1"/>
        <v>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39" t="s">
        <v>96</v>
      </c>
      <c r="C7" s="39" t="s">
        <v>60</v>
      </c>
      <c r="D7" s="39" t="s">
        <v>60</v>
      </c>
      <c r="E7" s="39"/>
      <c r="F7" s="39" t="s">
        <v>60</v>
      </c>
      <c r="G7" s="41"/>
      <c r="H7" s="41"/>
      <c r="I7" s="41"/>
      <c r="J7" s="36">
        <f t="shared" si="1"/>
        <v>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39" t="s">
        <v>101</v>
      </c>
      <c r="C8" s="41"/>
      <c r="D8" s="39"/>
      <c r="E8" s="39" t="s">
        <v>60</v>
      </c>
      <c r="F8" s="41"/>
      <c r="G8" s="39" t="s">
        <v>60</v>
      </c>
      <c r="H8" s="41"/>
      <c r="I8" s="41"/>
      <c r="J8" s="36">
        <f t="shared" si="1"/>
        <v>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42" t="s">
        <v>106</v>
      </c>
      <c r="C9" s="42" t="s">
        <v>60</v>
      </c>
      <c r="D9" s="43"/>
      <c r="E9" s="43"/>
      <c r="F9" s="43"/>
      <c r="G9" s="42"/>
      <c r="H9" s="43"/>
      <c r="I9" s="43"/>
      <c r="J9" s="36">
        <f t="shared" si="1"/>
        <v>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42" t="s">
        <v>114</v>
      </c>
      <c r="C10" s="43"/>
      <c r="D10" s="43"/>
      <c r="E10" s="42" t="s">
        <v>60</v>
      </c>
      <c r="F10" s="42"/>
      <c r="G10" s="42" t="s">
        <v>60</v>
      </c>
      <c r="H10" s="43"/>
      <c r="I10" s="43"/>
      <c r="J10" s="36">
        <f t="shared" si="1"/>
        <v>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42" t="s">
        <v>121</v>
      </c>
      <c r="C11" s="42" t="s">
        <v>60</v>
      </c>
      <c r="D11" s="42" t="s">
        <v>60</v>
      </c>
      <c r="E11" s="42"/>
      <c r="F11" s="42" t="s">
        <v>60</v>
      </c>
      <c r="G11" s="42" t="s">
        <v>60</v>
      </c>
      <c r="H11" s="43"/>
      <c r="I11" s="43"/>
      <c r="J11" s="36">
        <f t="shared" si="1"/>
        <v>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42" t="s">
        <v>125</v>
      </c>
      <c r="C12" s="42"/>
      <c r="D12" s="42"/>
      <c r="E12" s="43"/>
      <c r="F12" s="43"/>
      <c r="G12" s="43"/>
      <c r="H12" s="43"/>
      <c r="I12" s="43"/>
      <c r="J12" s="36">
        <f t="shared" si="1"/>
        <v>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45">
        <f>SUM(J5:J12)</f>
        <v>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6" t="s">
        <v>126</v>
      </c>
      <c r="C15" s="17"/>
      <c r="D15" s="17"/>
      <c r="E15" s="17"/>
      <c r="F15" s="17"/>
      <c r="G15" s="17"/>
      <c r="H15" s="17"/>
      <c r="I15" s="18"/>
      <c r="J15" s="2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22"/>
      <c r="C16" s="23">
        <v>2.0</v>
      </c>
      <c r="D16" s="23">
        <v>3.0</v>
      </c>
      <c r="E16" s="23">
        <v>4.0</v>
      </c>
      <c r="F16" s="23">
        <v>5.0</v>
      </c>
      <c r="G16" s="23">
        <v>6.0</v>
      </c>
      <c r="H16" s="23">
        <v>7.0</v>
      </c>
      <c r="I16" s="23">
        <v>8.0</v>
      </c>
      <c r="J16" s="1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1"/>
      <c r="C17" s="26" t="s">
        <v>34</v>
      </c>
      <c r="D17" s="26" t="s">
        <v>36</v>
      </c>
      <c r="E17" s="26" t="s">
        <v>38</v>
      </c>
      <c r="F17" s="26" t="s">
        <v>127</v>
      </c>
      <c r="G17" s="26" t="s">
        <v>128</v>
      </c>
      <c r="H17" s="26" t="s">
        <v>129</v>
      </c>
      <c r="I17" s="26" t="s">
        <v>130</v>
      </c>
      <c r="J17" s="28" t="s">
        <v>41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34" t="s">
        <v>56</v>
      </c>
      <c r="C18" s="32" t="s">
        <v>60</v>
      </c>
      <c r="D18" s="34"/>
      <c r="E18" s="34"/>
      <c r="F18" s="34"/>
      <c r="G18" s="34"/>
      <c r="H18" s="34"/>
      <c r="I18" s="34"/>
      <c r="J18" s="36">
        <f t="shared" ref="J18:J25" si="2">COUNTIF(C18:I18,"x")</f>
        <v>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38" t="s">
        <v>131</v>
      </c>
      <c r="C19" s="37" t="s">
        <v>60</v>
      </c>
      <c r="D19" s="38"/>
      <c r="E19" s="37" t="s">
        <v>60</v>
      </c>
      <c r="F19" s="38"/>
      <c r="G19" s="37" t="s">
        <v>60</v>
      </c>
      <c r="H19" s="37"/>
      <c r="I19" s="37" t="s">
        <v>60</v>
      </c>
      <c r="J19" s="36">
        <f t="shared" si="2"/>
        <v>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41" t="s">
        <v>132</v>
      </c>
      <c r="C20" s="41"/>
      <c r="D20" s="39" t="s">
        <v>60</v>
      </c>
      <c r="E20" s="41"/>
      <c r="F20" s="39" t="s">
        <v>60</v>
      </c>
      <c r="G20" s="41"/>
      <c r="H20" s="39" t="s">
        <v>60</v>
      </c>
      <c r="I20" s="41"/>
      <c r="J20" s="36">
        <f t="shared" si="2"/>
        <v>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41" t="s">
        <v>133</v>
      </c>
      <c r="C21" s="41"/>
      <c r="D21" s="41"/>
      <c r="E21" s="39" t="s">
        <v>60</v>
      </c>
      <c r="F21" s="41"/>
      <c r="G21" s="39" t="s">
        <v>60</v>
      </c>
      <c r="H21" s="41"/>
      <c r="I21" s="41" t="s">
        <v>60</v>
      </c>
      <c r="J21" s="36">
        <f t="shared" si="2"/>
        <v>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43" t="s">
        <v>106</v>
      </c>
      <c r="C22" s="42" t="s">
        <v>60</v>
      </c>
      <c r="D22" s="43"/>
      <c r="E22" s="43"/>
      <c r="F22" s="43"/>
      <c r="G22" s="43"/>
      <c r="H22" s="43"/>
      <c r="I22" s="43"/>
      <c r="J22" s="36">
        <f t="shared" si="2"/>
        <v>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43" t="s">
        <v>114</v>
      </c>
      <c r="C23" s="43"/>
      <c r="D23" s="42" t="s">
        <v>60</v>
      </c>
      <c r="E23" s="43"/>
      <c r="F23" s="42" t="s">
        <v>60</v>
      </c>
      <c r="G23" s="43"/>
      <c r="H23" s="42" t="s">
        <v>60</v>
      </c>
      <c r="I23" s="43"/>
      <c r="J23" s="36">
        <f t="shared" si="2"/>
        <v>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43" t="s">
        <v>121</v>
      </c>
      <c r="C24" s="43"/>
      <c r="D24" s="42" t="s">
        <v>60</v>
      </c>
      <c r="E24" s="42" t="s">
        <v>60</v>
      </c>
      <c r="F24" s="43"/>
      <c r="G24" s="42" t="s">
        <v>60</v>
      </c>
      <c r="H24" s="43"/>
      <c r="I24" s="42" t="s">
        <v>60</v>
      </c>
      <c r="J24" s="36">
        <f t="shared" si="2"/>
        <v>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43" t="s">
        <v>125</v>
      </c>
      <c r="C25" s="43"/>
      <c r="D25" s="43"/>
      <c r="E25" s="43"/>
      <c r="F25" s="43"/>
      <c r="G25" s="43"/>
      <c r="H25" s="43"/>
      <c r="I25" s="43"/>
      <c r="J25" s="36">
        <f t="shared" si="2"/>
        <v>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45">
        <f>SUM(J18:J25)</f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46" t="s">
        <v>134</v>
      </c>
      <c r="C27" s="11"/>
      <c r="D27" s="11"/>
      <c r="E27" s="11"/>
      <c r="F27" s="11"/>
      <c r="G27" s="11"/>
      <c r="H27" s="11"/>
      <c r="I27" s="11"/>
      <c r="J27" s="11"/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 t="s">
        <v>135</v>
      </c>
      <c r="C28" s="11"/>
      <c r="D28" s="11"/>
      <c r="E28" s="11"/>
      <c r="F28" s="11"/>
      <c r="G28" s="11"/>
      <c r="H28" s="11"/>
      <c r="I28" s="11"/>
      <c r="J28" s="11"/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 t="s">
        <v>136</v>
      </c>
      <c r="C29" s="11"/>
      <c r="D29" s="11"/>
      <c r="E29" s="11"/>
      <c r="F29" s="11"/>
      <c r="G29" s="11"/>
      <c r="H29" s="11"/>
      <c r="I29" s="11"/>
      <c r="J29" s="11"/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 t="s">
        <v>137</v>
      </c>
      <c r="C30" s="11"/>
      <c r="D30" s="11"/>
      <c r="E30" s="11"/>
      <c r="F30" s="11"/>
      <c r="G30" s="11"/>
      <c r="H30" s="11"/>
      <c r="I30" s="11"/>
      <c r="J30" s="11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 t="s">
        <v>138</v>
      </c>
      <c r="C31" s="11"/>
      <c r="D31" s="11"/>
      <c r="E31" s="11"/>
      <c r="F31" s="11"/>
      <c r="G31" s="11"/>
      <c r="H31" s="11"/>
      <c r="I31" s="11"/>
      <c r="J31" s="11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1"/>
      <c r="D32" s="11"/>
      <c r="E32" s="11"/>
      <c r="F32" s="11"/>
      <c r="G32" s="11"/>
      <c r="H32" s="11"/>
      <c r="I32" s="11"/>
      <c r="J32" s="11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6" t="s">
        <v>139</v>
      </c>
      <c r="C33" s="11"/>
      <c r="D33" s="11"/>
      <c r="E33" s="11"/>
      <c r="F33" s="11"/>
      <c r="G33" s="11"/>
      <c r="H33" s="11"/>
      <c r="I33" s="11"/>
      <c r="J33" s="45" t="s">
        <v>140</v>
      </c>
      <c r="K33" s="1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7" t="s">
        <v>141</v>
      </c>
      <c r="C34" s="11"/>
      <c r="D34" s="11"/>
      <c r="E34" s="11"/>
      <c r="F34" s="11"/>
      <c r="G34" s="11"/>
      <c r="H34" s="11"/>
      <c r="I34" s="11"/>
      <c r="J34" s="34" t="s">
        <v>56</v>
      </c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7" t="s">
        <v>142</v>
      </c>
      <c r="C35" s="11"/>
      <c r="D35" s="11"/>
      <c r="E35" s="11"/>
      <c r="F35" s="11"/>
      <c r="G35" s="11"/>
      <c r="H35" s="11"/>
      <c r="I35" s="11"/>
      <c r="J35" s="37" t="s">
        <v>143</v>
      </c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7" t="s">
        <v>144</v>
      </c>
      <c r="C36" s="11"/>
      <c r="D36" s="11"/>
      <c r="E36" s="11"/>
      <c r="F36" s="11"/>
      <c r="G36" s="11"/>
      <c r="H36" s="11"/>
      <c r="I36" s="11"/>
      <c r="J36" s="39" t="s">
        <v>145</v>
      </c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1"/>
      <c r="C37" s="11"/>
      <c r="D37" s="11"/>
      <c r="E37" s="11"/>
      <c r="F37" s="11"/>
      <c r="G37" s="11"/>
      <c r="H37" s="11"/>
      <c r="I37" s="11"/>
      <c r="J37" s="43" t="s">
        <v>146</v>
      </c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7"/>
      <c r="C38" s="11"/>
      <c r="D38" s="11"/>
      <c r="E38" s="11"/>
      <c r="F38" s="11"/>
      <c r="G38" s="11"/>
      <c r="H38" s="11"/>
      <c r="I38" s="11"/>
      <c r="J38" s="11"/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7"/>
      <c r="C39" s="11"/>
      <c r="D39" s="11"/>
      <c r="E39" s="11"/>
      <c r="F39" s="11"/>
      <c r="G39" s="11"/>
      <c r="H39" s="11"/>
      <c r="I39" s="11"/>
      <c r="J39" s="11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8"/>
      <c r="C41" s="17"/>
      <c r="D41" s="17"/>
      <c r="E41" s="17"/>
      <c r="F41" s="17"/>
      <c r="G41" s="17"/>
      <c r="H41" s="17"/>
      <c r="I41" s="17"/>
      <c r="J41" s="17"/>
      <c r="K41" s="18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8"/>
      <c r="C42" s="17"/>
      <c r="D42" s="17"/>
      <c r="E42" s="17"/>
      <c r="F42" s="17"/>
      <c r="G42" s="17"/>
      <c r="H42" s="17"/>
      <c r="I42" s="17"/>
      <c r="J42" s="17"/>
      <c r="K42" s="18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9"/>
      <c r="C43" s="17"/>
      <c r="D43" s="17"/>
      <c r="E43" s="17"/>
      <c r="F43" s="17"/>
      <c r="G43" s="17"/>
      <c r="H43" s="17"/>
      <c r="I43" s="17"/>
      <c r="J43" s="18"/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7"/>
      <c r="C45" s="11"/>
      <c r="D45" s="11"/>
      <c r="E45" s="11"/>
      <c r="F45" s="11"/>
      <c r="G45" s="11"/>
      <c r="H45" s="11"/>
      <c r="I45" s="11"/>
      <c r="J45" s="11"/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9"/>
      <c r="C46" s="17"/>
      <c r="D46" s="17"/>
      <c r="E46" s="17"/>
      <c r="F46" s="17"/>
      <c r="G46" s="17"/>
      <c r="H46" s="17"/>
      <c r="I46" s="17"/>
      <c r="J46" s="18"/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mergeCells count="6">
    <mergeCell ref="B2:I2"/>
    <mergeCell ref="B15:I15"/>
    <mergeCell ref="B41:K41"/>
    <mergeCell ref="B42:K42"/>
    <mergeCell ref="B43:J43"/>
    <mergeCell ref="B46:J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75"/>
    <col customWidth="1" min="10" max="10" width="21.0"/>
  </cols>
  <sheetData>
    <row r="1">
      <c r="A1" s="1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/>
      <c r="B2" s="16" t="s">
        <v>147</v>
      </c>
      <c r="C2" s="17"/>
      <c r="D2" s="17"/>
      <c r="E2" s="17"/>
      <c r="F2" s="17"/>
      <c r="G2" s="17"/>
      <c r="H2" s="17"/>
      <c r="I2" s="18"/>
      <c r="J2" s="2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22"/>
      <c r="C3" s="23">
        <v>2.0</v>
      </c>
      <c r="D3" s="23">
        <v>3.0</v>
      </c>
      <c r="E3" s="23">
        <v>4.0</v>
      </c>
      <c r="F3" s="23">
        <v>5.0</v>
      </c>
      <c r="G3" s="23">
        <v>6.0</v>
      </c>
      <c r="H3" s="23">
        <v>7.0</v>
      </c>
      <c r="I3" s="23">
        <v>8.0</v>
      </c>
      <c r="J3" s="1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26" t="s">
        <v>34</v>
      </c>
      <c r="D4" s="26" t="s">
        <v>36</v>
      </c>
      <c r="E4" s="26" t="s">
        <v>148</v>
      </c>
      <c r="F4" s="26" t="s">
        <v>149</v>
      </c>
      <c r="G4" s="26" t="s">
        <v>150</v>
      </c>
      <c r="H4" s="26" t="s">
        <v>151</v>
      </c>
      <c r="I4" s="26" t="s">
        <v>152</v>
      </c>
      <c r="J4" s="28" t="s">
        <v>41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32" t="s">
        <v>153</v>
      </c>
      <c r="C5" s="32" t="s">
        <v>60</v>
      </c>
      <c r="D5" s="34"/>
      <c r="E5" s="34"/>
      <c r="F5" s="34"/>
      <c r="G5" s="34"/>
      <c r="H5" s="34"/>
      <c r="I5" s="32"/>
      <c r="J5" s="36">
        <f t="shared" ref="J5:J10" si="1">COUNTIF(C5:I5,"x")</f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37" t="s">
        <v>84</v>
      </c>
      <c r="C6" s="37"/>
      <c r="D6" s="37" t="s">
        <v>60</v>
      </c>
      <c r="E6" s="37"/>
      <c r="F6" s="37" t="s">
        <v>60</v>
      </c>
      <c r="G6" s="37"/>
      <c r="H6" s="38"/>
      <c r="I6" s="37" t="s">
        <v>60</v>
      </c>
      <c r="J6" s="36">
        <f t="shared" si="1"/>
        <v>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39" t="s">
        <v>154</v>
      </c>
      <c r="C7" s="39"/>
      <c r="D7" s="39"/>
      <c r="E7" s="39"/>
      <c r="F7" s="39"/>
      <c r="G7" s="39" t="s">
        <v>60</v>
      </c>
      <c r="H7" s="41"/>
      <c r="I7" s="41"/>
      <c r="J7" s="36">
        <f t="shared" si="1"/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42" t="s">
        <v>114</v>
      </c>
      <c r="C8" s="43"/>
      <c r="D8" s="43"/>
      <c r="E8" s="43"/>
      <c r="F8" s="42"/>
      <c r="G8" s="43"/>
      <c r="H8" s="43"/>
      <c r="I8" s="43"/>
      <c r="J8" s="36">
        <f t="shared" si="1"/>
        <v>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42" t="s">
        <v>121</v>
      </c>
      <c r="C9" s="42" t="s">
        <v>60</v>
      </c>
      <c r="D9" s="42" t="s">
        <v>60</v>
      </c>
      <c r="E9" s="42" t="s">
        <v>60</v>
      </c>
      <c r="F9" s="42" t="s">
        <v>60</v>
      </c>
      <c r="G9" s="42" t="s">
        <v>60</v>
      </c>
      <c r="H9" s="42" t="s">
        <v>60</v>
      </c>
      <c r="I9" s="42" t="s">
        <v>60</v>
      </c>
      <c r="J9" s="36">
        <f t="shared" si="1"/>
        <v>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42" t="s">
        <v>125</v>
      </c>
      <c r="C10" s="42"/>
      <c r="D10" s="42"/>
      <c r="E10" s="42" t="s">
        <v>60</v>
      </c>
      <c r="F10" s="43"/>
      <c r="G10" s="42"/>
      <c r="H10" s="42" t="s">
        <v>60</v>
      </c>
      <c r="I10" s="43"/>
      <c r="J10" s="36">
        <f t="shared" si="1"/>
        <v>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45">
        <f>SUM(J5:J10)</f>
        <v>14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1"/>
      <c r="C12" s="50"/>
      <c r="D12" s="50"/>
      <c r="E12" s="50"/>
      <c r="F12" s="50"/>
      <c r="G12" s="50"/>
      <c r="H12" s="11"/>
      <c r="I12" s="11"/>
      <c r="J12" s="1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50"/>
      <c r="D13" s="50"/>
      <c r="E13" s="50"/>
      <c r="F13" s="50"/>
      <c r="G13" s="50"/>
      <c r="H13" s="11"/>
      <c r="I13" s="11"/>
      <c r="J13" s="11"/>
      <c r="K13" s="1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11"/>
      <c r="C14" s="50"/>
      <c r="D14" s="50"/>
      <c r="E14" s="50"/>
      <c r="F14" s="50"/>
      <c r="G14" s="50"/>
      <c r="H14" s="11"/>
      <c r="I14" s="11"/>
      <c r="J14" s="11"/>
      <c r="K14" s="1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1"/>
      <c r="C15" s="50"/>
      <c r="D15" s="50"/>
      <c r="E15" s="50"/>
      <c r="F15" s="50"/>
      <c r="G15" s="50"/>
      <c r="H15" s="11"/>
      <c r="I15" s="11"/>
      <c r="J15" s="11"/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1"/>
      <c r="C16" s="50"/>
      <c r="D16" s="50"/>
      <c r="E16" s="50"/>
      <c r="F16" s="50"/>
      <c r="G16" s="50"/>
      <c r="H16" s="11"/>
      <c r="I16" s="11"/>
      <c r="J16" s="11"/>
      <c r="K16" s="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1"/>
      <c r="C17" s="50"/>
      <c r="D17" s="50"/>
      <c r="E17" s="50"/>
      <c r="F17" s="50"/>
      <c r="G17" s="50"/>
      <c r="H17" s="11"/>
      <c r="I17" s="11"/>
      <c r="J17" s="11"/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1"/>
      <c r="C18" s="50"/>
      <c r="D18" s="50"/>
      <c r="E18" s="50"/>
      <c r="F18" s="50"/>
      <c r="G18" s="50"/>
      <c r="H18" s="11"/>
      <c r="I18" s="11"/>
      <c r="J18" s="11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1"/>
      <c r="C19" s="50"/>
      <c r="D19" s="50"/>
      <c r="E19" s="50"/>
      <c r="F19" s="50"/>
      <c r="G19" s="50"/>
      <c r="H19" s="11"/>
      <c r="I19" s="11"/>
      <c r="J19" s="45" t="s">
        <v>140</v>
      </c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1"/>
      <c r="C20" s="50"/>
      <c r="D20" s="50"/>
      <c r="E20" s="50"/>
      <c r="F20" s="50"/>
      <c r="G20" s="50"/>
      <c r="H20" s="11"/>
      <c r="I20" s="11"/>
      <c r="J20" s="34" t="s">
        <v>56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1"/>
      <c r="C21" s="50"/>
      <c r="D21" s="50"/>
      <c r="E21" s="50"/>
      <c r="F21" s="50"/>
      <c r="G21" s="50"/>
      <c r="H21" s="11"/>
      <c r="I21" s="11"/>
      <c r="J21" s="37" t="s">
        <v>143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1"/>
      <c r="C22" s="50"/>
      <c r="D22" s="50"/>
      <c r="E22" s="50"/>
      <c r="F22" s="50"/>
      <c r="G22" s="50"/>
      <c r="H22" s="11"/>
      <c r="I22" s="11"/>
      <c r="J22" s="39" t="s">
        <v>145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50"/>
      <c r="C23" s="50"/>
      <c r="D23" s="50"/>
      <c r="E23" s="50"/>
      <c r="F23" s="50"/>
      <c r="G23" s="50"/>
      <c r="H23" s="11"/>
      <c r="I23" s="11"/>
      <c r="J23" s="43" t="s">
        <v>146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7"/>
      <c r="C24" s="11"/>
      <c r="D24" s="11"/>
      <c r="E24" s="11"/>
      <c r="F24" s="11"/>
      <c r="G24" s="11"/>
      <c r="H24" s="11"/>
      <c r="I24" s="11"/>
      <c r="J24" s="11"/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7"/>
      <c r="C25" s="11"/>
      <c r="D25" s="11"/>
      <c r="E25" s="11"/>
      <c r="F25" s="11"/>
      <c r="G25" s="11"/>
      <c r="H25" s="11"/>
      <c r="I25" s="11"/>
      <c r="J25" s="11"/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8"/>
      <c r="C27" s="17"/>
      <c r="D27" s="17"/>
      <c r="E27" s="17"/>
      <c r="F27" s="17"/>
      <c r="G27" s="17"/>
      <c r="H27" s="17"/>
      <c r="I27" s="17"/>
      <c r="J27" s="17"/>
      <c r="K27" s="1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8"/>
      <c r="C28" s="17"/>
      <c r="D28" s="17"/>
      <c r="E28" s="17"/>
      <c r="F28" s="17"/>
      <c r="G28" s="17"/>
      <c r="H28" s="17"/>
      <c r="I28" s="17"/>
      <c r="J28" s="17"/>
      <c r="K28" s="1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9"/>
      <c r="C29" s="17"/>
      <c r="D29" s="17"/>
      <c r="E29" s="17"/>
      <c r="F29" s="17"/>
      <c r="G29" s="17"/>
      <c r="H29" s="17"/>
      <c r="I29" s="17"/>
      <c r="J29" s="18"/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7"/>
      <c r="C31" s="11"/>
      <c r="D31" s="11"/>
      <c r="E31" s="11"/>
      <c r="F31" s="11"/>
      <c r="G31" s="11"/>
      <c r="H31" s="11"/>
      <c r="I31" s="11"/>
      <c r="J31" s="11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9"/>
      <c r="C32" s="17"/>
      <c r="D32" s="17"/>
      <c r="E32" s="17"/>
      <c r="F32" s="17"/>
      <c r="G32" s="17"/>
      <c r="H32" s="17"/>
      <c r="I32" s="17"/>
      <c r="J32" s="18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</sheetData>
  <mergeCells count="5">
    <mergeCell ref="B2:I2"/>
    <mergeCell ref="B27:K27"/>
    <mergeCell ref="B28:K28"/>
    <mergeCell ref="B29:J29"/>
    <mergeCell ref="B32:J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75"/>
    <col customWidth="1" min="10" max="10" width="21.0"/>
  </cols>
  <sheetData>
    <row r="1">
      <c r="A1" s="1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/>
      <c r="B2" s="16" t="s">
        <v>155</v>
      </c>
      <c r="C2" s="17"/>
      <c r="D2" s="17"/>
      <c r="E2" s="17"/>
      <c r="F2" s="17"/>
      <c r="G2" s="17"/>
      <c r="H2" s="17"/>
      <c r="I2" s="18"/>
      <c r="J2" s="2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22"/>
      <c r="C3" s="23">
        <v>2.0</v>
      </c>
      <c r="D3" s="23">
        <v>3.0</v>
      </c>
      <c r="E3" s="23">
        <v>4.0</v>
      </c>
      <c r="F3" s="23">
        <v>5.0</v>
      </c>
      <c r="G3" s="23">
        <v>6.0</v>
      </c>
      <c r="H3" s="23">
        <v>7.0</v>
      </c>
      <c r="I3" s="23">
        <v>8.0</v>
      </c>
      <c r="J3" s="1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26" t="s">
        <v>34</v>
      </c>
      <c r="D4" s="26" t="s">
        <v>36</v>
      </c>
      <c r="E4" s="26" t="s">
        <v>38</v>
      </c>
      <c r="F4" s="26" t="s">
        <v>148</v>
      </c>
      <c r="G4" s="26" t="s">
        <v>149</v>
      </c>
      <c r="H4" s="26"/>
      <c r="I4" s="26"/>
      <c r="J4" s="28" t="s">
        <v>41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32" t="s">
        <v>56</v>
      </c>
      <c r="C5" s="32" t="s">
        <v>60</v>
      </c>
      <c r="D5" s="34"/>
      <c r="E5" s="34"/>
      <c r="F5" s="34"/>
      <c r="G5" s="34"/>
      <c r="H5" s="34"/>
      <c r="I5" s="34"/>
      <c r="J5" s="36">
        <f t="shared" ref="J5:J11" si="1">COUNTIF(C5:I5,"x")</f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37" t="s">
        <v>84</v>
      </c>
      <c r="C6" s="37"/>
      <c r="D6" s="38"/>
      <c r="E6" s="37" t="s">
        <v>60</v>
      </c>
      <c r="F6" s="37"/>
      <c r="G6" s="37" t="s">
        <v>60</v>
      </c>
      <c r="H6" s="38"/>
      <c r="I6" s="38"/>
      <c r="J6" s="36">
        <f t="shared" si="1"/>
        <v>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39" t="s">
        <v>154</v>
      </c>
      <c r="C7" s="39"/>
      <c r="D7" s="39" t="s">
        <v>60</v>
      </c>
      <c r="E7" s="39"/>
      <c r="F7" s="39" t="s">
        <v>60</v>
      </c>
      <c r="G7" s="41"/>
      <c r="H7" s="41"/>
      <c r="I7" s="41"/>
      <c r="J7" s="36">
        <f t="shared" si="1"/>
        <v>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42" t="s">
        <v>106</v>
      </c>
      <c r="C8" s="42"/>
      <c r="D8" s="43"/>
      <c r="E8" s="43"/>
      <c r="F8" s="43"/>
      <c r="G8" s="42"/>
      <c r="H8" s="43"/>
      <c r="I8" s="43"/>
      <c r="J8" s="36">
        <f t="shared" si="1"/>
        <v>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42" t="s">
        <v>114</v>
      </c>
      <c r="C9" s="43"/>
      <c r="D9" s="43"/>
      <c r="E9" s="43"/>
      <c r="F9" s="42"/>
      <c r="G9" s="43"/>
      <c r="H9" s="43"/>
      <c r="I9" s="43"/>
      <c r="J9" s="36">
        <f t="shared" si="1"/>
        <v>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42" t="s">
        <v>121</v>
      </c>
      <c r="C10" s="42" t="s">
        <v>60</v>
      </c>
      <c r="D10" s="42" t="s">
        <v>60</v>
      </c>
      <c r="E10" s="42" t="s">
        <v>60</v>
      </c>
      <c r="F10" s="42" t="s">
        <v>60</v>
      </c>
      <c r="G10" s="42" t="s">
        <v>60</v>
      </c>
      <c r="H10" s="43"/>
      <c r="I10" s="43"/>
      <c r="J10" s="36">
        <f t="shared" si="1"/>
        <v>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42" t="s">
        <v>125</v>
      </c>
      <c r="C11" s="42"/>
      <c r="D11" s="42"/>
      <c r="E11" s="42" t="s">
        <v>60</v>
      </c>
      <c r="F11" s="42"/>
      <c r="G11" s="42"/>
      <c r="H11" s="43"/>
      <c r="I11" s="43"/>
      <c r="J11" s="36">
        <f t="shared" si="1"/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45">
        <f>SUM(J5:J11)</f>
        <v>11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1"/>
      <c r="C14" s="50"/>
      <c r="D14" s="50"/>
      <c r="E14" s="50"/>
      <c r="F14" s="50"/>
      <c r="G14" s="11"/>
      <c r="H14" s="11"/>
      <c r="I14" s="11"/>
      <c r="J14" s="11"/>
      <c r="K14" s="1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1"/>
      <c r="C15" s="50"/>
      <c r="D15" s="50"/>
      <c r="E15" s="50"/>
      <c r="F15" s="50"/>
      <c r="G15" s="11"/>
      <c r="H15" s="11"/>
      <c r="I15" s="11"/>
      <c r="J15" s="11"/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1"/>
      <c r="C16" s="50"/>
      <c r="D16" s="50"/>
      <c r="E16" s="50"/>
      <c r="F16" s="50"/>
      <c r="G16" s="11"/>
      <c r="H16" s="11"/>
      <c r="I16" s="11"/>
      <c r="J16" s="11"/>
      <c r="K16" s="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1"/>
      <c r="C17" s="50"/>
      <c r="D17" s="50"/>
      <c r="E17" s="50"/>
      <c r="F17" s="50"/>
      <c r="G17" s="11"/>
      <c r="H17" s="11"/>
      <c r="I17" s="11"/>
      <c r="J17" s="11"/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1"/>
      <c r="C18" s="50"/>
      <c r="D18" s="50"/>
      <c r="E18" s="50"/>
      <c r="F18" s="50"/>
      <c r="G18" s="11"/>
      <c r="H18" s="11"/>
      <c r="I18" s="11"/>
      <c r="J18" s="11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1"/>
      <c r="C19" s="50"/>
      <c r="D19" s="50"/>
      <c r="E19" s="50"/>
      <c r="F19" s="50"/>
      <c r="G19" s="11"/>
      <c r="H19" s="11"/>
      <c r="I19" s="11"/>
      <c r="J19" s="11"/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1"/>
      <c r="C20" s="50"/>
      <c r="D20" s="50"/>
      <c r="E20" s="50"/>
      <c r="F20" s="50"/>
      <c r="G20" s="11"/>
      <c r="H20" s="11"/>
      <c r="I20" s="11"/>
      <c r="J20" s="45" t="s">
        <v>140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1"/>
      <c r="C21" s="50"/>
      <c r="D21" s="50"/>
      <c r="E21" s="50"/>
      <c r="F21" s="50"/>
      <c r="G21" s="11"/>
      <c r="H21" s="11"/>
      <c r="I21" s="11"/>
      <c r="J21" s="34" t="s">
        <v>56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1"/>
      <c r="C22" s="50"/>
      <c r="D22" s="50"/>
      <c r="E22" s="50"/>
      <c r="F22" s="50"/>
      <c r="G22" s="11"/>
      <c r="H22" s="11"/>
      <c r="I22" s="11"/>
      <c r="J22" s="37" t="s">
        <v>143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1"/>
      <c r="C23" s="50"/>
      <c r="D23" s="50"/>
      <c r="E23" s="50"/>
      <c r="F23" s="50"/>
      <c r="G23" s="11"/>
      <c r="H23" s="11"/>
      <c r="I23" s="11"/>
      <c r="J23" s="39" t="s">
        <v>145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1"/>
      <c r="C24" s="50"/>
      <c r="D24" s="50"/>
      <c r="E24" s="50"/>
      <c r="F24" s="50"/>
      <c r="G24" s="11"/>
      <c r="H24" s="11"/>
      <c r="I24" s="11"/>
      <c r="J24" s="43" t="s">
        <v>146</v>
      </c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7"/>
      <c r="C25" s="11"/>
      <c r="D25" s="11"/>
      <c r="E25" s="11"/>
      <c r="F25" s="11"/>
      <c r="G25" s="11"/>
      <c r="H25" s="11"/>
      <c r="I25" s="11"/>
      <c r="J25" s="11"/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7"/>
      <c r="C26" s="11"/>
      <c r="D26" s="11"/>
      <c r="E26" s="11"/>
      <c r="F26" s="11"/>
      <c r="G26" s="11"/>
      <c r="H26" s="11"/>
      <c r="I26" s="11"/>
      <c r="J26" s="11"/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8"/>
      <c r="C28" s="17"/>
      <c r="D28" s="17"/>
      <c r="E28" s="17"/>
      <c r="F28" s="17"/>
      <c r="G28" s="17"/>
      <c r="H28" s="17"/>
      <c r="I28" s="17"/>
      <c r="J28" s="17"/>
      <c r="K28" s="1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8"/>
      <c r="C29" s="17"/>
      <c r="D29" s="17"/>
      <c r="E29" s="17"/>
      <c r="F29" s="17"/>
      <c r="G29" s="17"/>
      <c r="H29" s="17"/>
      <c r="I29" s="17"/>
      <c r="J29" s="17"/>
      <c r="K29" s="1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9"/>
      <c r="C30" s="17"/>
      <c r="D30" s="17"/>
      <c r="E30" s="17"/>
      <c r="F30" s="17"/>
      <c r="G30" s="17"/>
      <c r="H30" s="17"/>
      <c r="I30" s="17"/>
      <c r="J30" s="18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7"/>
      <c r="C32" s="11"/>
      <c r="D32" s="11"/>
      <c r="E32" s="11"/>
      <c r="F32" s="11"/>
      <c r="G32" s="11"/>
      <c r="H32" s="11"/>
      <c r="I32" s="11"/>
      <c r="J32" s="11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9"/>
      <c r="C33" s="17"/>
      <c r="D33" s="17"/>
      <c r="E33" s="17"/>
      <c r="F33" s="17"/>
      <c r="G33" s="17"/>
      <c r="H33" s="17"/>
      <c r="I33" s="17"/>
      <c r="J33" s="18"/>
      <c r="K33" s="1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mergeCells count="5">
    <mergeCell ref="B2:I2"/>
    <mergeCell ref="B28:K28"/>
    <mergeCell ref="B29:K29"/>
    <mergeCell ref="B30:J30"/>
    <mergeCell ref="B33:J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26265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0"/>
    <col customWidth="1" min="2" max="2" width="39.5"/>
    <col customWidth="1" min="3" max="3" width="42.0"/>
    <col customWidth="1" min="4" max="4" width="101.63"/>
    <col customWidth="1" min="5" max="5" width="19.88"/>
    <col customWidth="1" min="6" max="6" width="12.63"/>
  </cols>
  <sheetData>
    <row r="1" ht="27.75" customHeight="1">
      <c r="A1" s="51" t="s">
        <v>0</v>
      </c>
      <c r="B1" s="51" t="s">
        <v>156</v>
      </c>
      <c r="C1" s="51" t="s">
        <v>4</v>
      </c>
      <c r="D1" s="51" t="s">
        <v>5</v>
      </c>
      <c r="E1" s="51" t="s">
        <v>157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158</v>
      </c>
      <c r="B2" s="54" t="s">
        <v>159</v>
      </c>
      <c r="C2" s="55" t="s">
        <v>160</v>
      </c>
      <c r="D2" s="56" t="s">
        <v>161</v>
      </c>
      <c r="E2" s="57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24"/>
      <c r="B3" s="58" t="s">
        <v>162</v>
      </c>
      <c r="C3" s="59" t="s">
        <v>163</v>
      </c>
      <c r="D3" s="60" t="s">
        <v>164</v>
      </c>
      <c r="E3" s="57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24"/>
      <c r="B4" s="58" t="s">
        <v>165</v>
      </c>
      <c r="C4" s="59" t="s">
        <v>166</v>
      </c>
      <c r="D4" s="61" t="s">
        <v>167</v>
      </c>
      <c r="E4" s="5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29"/>
      <c r="B5" s="62" t="s">
        <v>168</v>
      </c>
      <c r="C5" s="63" t="s">
        <v>169</v>
      </c>
      <c r="D5" s="64" t="s">
        <v>170</v>
      </c>
      <c r="E5" s="57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65" t="s">
        <v>171</v>
      </c>
      <c r="B6" s="66" t="s">
        <v>172</v>
      </c>
      <c r="C6" s="55" t="s">
        <v>173</v>
      </c>
      <c r="D6" s="56" t="s">
        <v>174</v>
      </c>
      <c r="E6" s="57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24"/>
      <c r="B7" s="67" t="s">
        <v>175</v>
      </c>
      <c r="C7" s="59" t="s">
        <v>176</v>
      </c>
      <c r="D7" s="61" t="s">
        <v>177</v>
      </c>
      <c r="E7" s="57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24"/>
      <c r="B8" s="67" t="s">
        <v>178</v>
      </c>
      <c r="C8" s="59" t="s">
        <v>179</v>
      </c>
      <c r="D8" s="60" t="s">
        <v>180</v>
      </c>
      <c r="E8" s="57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24"/>
      <c r="B9" s="67" t="s">
        <v>181</v>
      </c>
      <c r="C9" s="59" t="s">
        <v>182</v>
      </c>
      <c r="D9" s="61" t="s">
        <v>183</v>
      </c>
      <c r="E9" s="57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24"/>
      <c r="B10" s="67" t="s">
        <v>184</v>
      </c>
      <c r="C10" s="59" t="s">
        <v>185</v>
      </c>
      <c r="D10" s="61" t="s">
        <v>186</v>
      </c>
      <c r="E10" s="57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24"/>
      <c r="B11" s="67" t="s">
        <v>187</v>
      </c>
      <c r="C11" s="59" t="s">
        <v>188</v>
      </c>
      <c r="D11" s="61" t="s">
        <v>189</v>
      </c>
      <c r="E11" s="57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24"/>
      <c r="B12" s="67" t="s">
        <v>190</v>
      </c>
      <c r="C12" s="59" t="s">
        <v>191</v>
      </c>
      <c r="D12" s="61" t="s">
        <v>192</v>
      </c>
      <c r="E12" s="57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24"/>
      <c r="B13" s="67" t="s">
        <v>193</v>
      </c>
      <c r="C13" s="59" t="s">
        <v>194</v>
      </c>
      <c r="D13" s="61" t="s">
        <v>195</v>
      </c>
      <c r="E13" s="57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24"/>
      <c r="B14" s="67" t="s">
        <v>196</v>
      </c>
      <c r="C14" s="59" t="s">
        <v>197</v>
      </c>
      <c r="D14" s="61" t="s">
        <v>198</v>
      </c>
      <c r="E14" s="57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24"/>
      <c r="B15" s="67" t="s">
        <v>199</v>
      </c>
      <c r="C15" s="59" t="s">
        <v>200</v>
      </c>
      <c r="D15" s="61" t="s">
        <v>201</v>
      </c>
      <c r="E15" s="57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24"/>
      <c r="B16" s="67" t="s">
        <v>202</v>
      </c>
      <c r="C16" s="59" t="s">
        <v>203</v>
      </c>
      <c r="D16" s="61" t="s">
        <v>204</v>
      </c>
      <c r="E16" s="57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29"/>
      <c r="B17" s="68" t="s">
        <v>205</v>
      </c>
      <c r="C17" s="63" t="s">
        <v>206</v>
      </c>
      <c r="D17" s="64" t="s">
        <v>207</v>
      </c>
      <c r="E17" s="57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3" t="s">
        <v>208</v>
      </c>
      <c r="B18" s="54" t="s">
        <v>209</v>
      </c>
      <c r="C18" s="55" t="s">
        <v>210</v>
      </c>
      <c r="D18" s="56" t="s">
        <v>211</v>
      </c>
      <c r="E18" s="69" t="s">
        <v>212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24"/>
      <c r="B19" s="58" t="s">
        <v>213</v>
      </c>
      <c r="C19" s="59" t="s">
        <v>214</v>
      </c>
      <c r="D19" s="60" t="s">
        <v>215</v>
      </c>
      <c r="E19" s="69" t="s">
        <v>216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24"/>
      <c r="B20" s="58" t="s">
        <v>217</v>
      </c>
      <c r="C20" s="59" t="s">
        <v>218</v>
      </c>
      <c r="D20" s="61" t="s">
        <v>219</v>
      </c>
      <c r="E20" s="69" t="s">
        <v>220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24"/>
      <c r="B21" s="58" t="s">
        <v>221</v>
      </c>
      <c r="C21" s="59" t="s">
        <v>222</v>
      </c>
      <c r="D21" s="61" t="s">
        <v>223</v>
      </c>
      <c r="E21" s="69" t="s">
        <v>224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24"/>
      <c r="B22" s="58" t="s">
        <v>225</v>
      </c>
      <c r="C22" s="59" t="s">
        <v>226</v>
      </c>
      <c r="D22" s="61" t="s">
        <v>227</v>
      </c>
      <c r="E22" s="70" t="s">
        <v>228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24"/>
      <c r="B23" s="58" t="s">
        <v>229</v>
      </c>
      <c r="C23" s="59" t="s">
        <v>230</v>
      </c>
      <c r="D23" s="61" t="s">
        <v>231</v>
      </c>
      <c r="E23" s="69" t="s">
        <v>232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24"/>
      <c r="B24" s="58" t="s">
        <v>233</v>
      </c>
      <c r="C24" s="59" t="s">
        <v>234</v>
      </c>
      <c r="D24" s="61" t="s">
        <v>235</v>
      </c>
      <c r="E24" s="70" t="s">
        <v>236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24"/>
      <c r="B25" s="58" t="s">
        <v>237</v>
      </c>
      <c r="C25" s="59" t="s">
        <v>238</v>
      </c>
      <c r="D25" s="61" t="s">
        <v>239</v>
      </c>
      <c r="E25" s="69" t="s">
        <v>240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24"/>
      <c r="B26" s="58" t="s">
        <v>241</v>
      </c>
      <c r="C26" s="59" t="s">
        <v>242</v>
      </c>
      <c r="D26" s="61" t="s">
        <v>243</v>
      </c>
      <c r="E26" s="69" t="s">
        <v>244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24"/>
      <c r="B27" s="58" t="s">
        <v>245</v>
      </c>
      <c r="C27" s="59" t="s">
        <v>246</v>
      </c>
      <c r="D27" s="61" t="s">
        <v>247</v>
      </c>
      <c r="E27" s="69" t="s">
        <v>248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29"/>
      <c r="B28" s="62" t="s">
        <v>249</v>
      </c>
      <c r="C28" s="63" t="s">
        <v>250</v>
      </c>
      <c r="D28" s="64" t="s">
        <v>251</v>
      </c>
      <c r="E28" s="69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65" t="s">
        <v>252</v>
      </c>
      <c r="B29" s="66" t="s">
        <v>253</v>
      </c>
      <c r="C29" s="55" t="s">
        <v>254</v>
      </c>
      <c r="D29" s="56" t="s">
        <v>255</v>
      </c>
      <c r="E29" s="69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24"/>
      <c r="B30" s="67" t="s">
        <v>256</v>
      </c>
      <c r="C30" s="59" t="s">
        <v>257</v>
      </c>
      <c r="D30" s="61" t="s">
        <v>258</v>
      </c>
      <c r="E30" s="69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24"/>
      <c r="B31" s="67" t="s">
        <v>259</v>
      </c>
      <c r="C31" s="59" t="s">
        <v>260</v>
      </c>
      <c r="D31" s="60" t="s">
        <v>261</v>
      </c>
      <c r="E31" s="69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24"/>
      <c r="B32" s="67" t="s">
        <v>262</v>
      </c>
      <c r="C32" s="59" t="s">
        <v>263</v>
      </c>
      <c r="D32" s="61" t="s">
        <v>264</v>
      </c>
      <c r="E32" s="69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24"/>
      <c r="B33" s="67" t="s">
        <v>265</v>
      </c>
      <c r="C33" s="59" t="s">
        <v>266</v>
      </c>
      <c r="D33" s="61" t="s">
        <v>267</v>
      </c>
      <c r="E33" s="69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29"/>
      <c r="B34" s="68" t="s">
        <v>268</v>
      </c>
      <c r="C34" s="63" t="s">
        <v>269</v>
      </c>
      <c r="D34" s="64" t="s">
        <v>270</v>
      </c>
      <c r="E34" s="69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4">
    <mergeCell ref="A2:A5"/>
    <mergeCell ref="A6:A17"/>
    <mergeCell ref="A18:A28"/>
    <mergeCell ref="A29:A34"/>
  </mergeCells>
  <printOptions/>
  <pageMargins bottom="0.75" footer="0.0" header="0.0" left="0.7" right="0.7" top="0.75"/>
  <pageSetup orientation="landscape"/>
  <drawing r:id="rId1"/>
</worksheet>
</file>