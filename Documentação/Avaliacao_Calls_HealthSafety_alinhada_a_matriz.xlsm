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sumo por Pessoa" sheetId="1" r:id="rId4"/>
    <sheet state="visible" name="Calls" sheetId="2" r:id="rId5"/>
    <sheet state="visible" name="Avaliacoes" sheetId="3" r:id="rId6"/>
    <sheet state="visible" name="Criterios" sheetId="4" r:id="rId7"/>
  </sheets>
  <definedNames>
    <definedName hidden="1" localSheetId="1" name="Z_468C0006_C29C_4D02_851C_33C1EAF4BF38_.wvu.FilterData">Calls!$A$1:$L$8</definedName>
    <definedName hidden="1" localSheetId="3" name="Z_B51AC103_D697_4965_A4B8_476A54B75393_.wvu.FilterData">Criterios!$A$1:$H$27</definedName>
    <definedName hidden="1" localSheetId="2" name="Z_2B35AF3C_EDFF_4DD1_ADC5_7EAEB63EB0FA_.wvu.FilterData">Avaliacoes!$A$1:$M$183</definedName>
  </definedNames>
  <calcPr/>
  <customWorkbookViews>
    <customWorkbookView activeSheetId="0" maximized="1" windowHeight="0" windowWidth="0" guid="{468C0006-C29C-4D02-851C-33C1EAF4BF38}" name="CallsHS filter view"/>
    <customWorkbookView activeSheetId="0" maximized="1" windowHeight="0" windowWidth="0" guid="{B51AC103-D697-4965-A4B8-476A54B75393}" name="CriteriosHS filter view"/>
    <customWorkbookView activeSheetId="0" maximized="1" windowHeight="0" windowWidth="0" guid="{2B35AF3C-EDFF-4DD1-ADC5-7EAEB63EB0FA}" name="AvaliacoesHS filter view"/>
  </customWorkbookViews>
  <extLst>
    <ext uri="GoogleSheetsCustomDataVersion2">
      <go:sheetsCustomData xmlns:go="http://customooxmlschemas.google.com/" r:id="rId8" roundtripDataChecksum="4LL4bVEKW5YQRlA2xj4Sh0Mr/tZnWmGewwJt7Wq+2Uk="/>
    </ext>
  </extLst>
</workbook>
</file>

<file path=xl/sharedStrings.xml><?xml version="1.0" encoding="utf-8"?>
<sst xmlns="http://schemas.openxmlformats.org/spreadsheetml/2006/main" count="1956" uniqueCount="336">
  <si>
    <t>Avaliação de Calls | Health and Safety</t>
  </si>
  <si>
    <t>Critérios alinhados à Matriz de Abordagem. Comparativos consideram apenas calls com cobertura mínima de 70%.</t>
  </si>
  <si>
    <t>Responsável</t>
  </si>
  <si>
    <t>Calls comparáveis</t>
  </si>
  <si>
    <t>Score médio</t>
  </si>
  <si>
    <t>Abertura</t>
  </si>
  <si>
    <t>Diagnóstico</t>
  </si>
  <si>
    <t>Demonstração</t>
  </si>
  <si>
    <t>Fechamento</t>
  </si>
  <si>
    <t>Cobertura média</t>
  </si>
  <si>
    <t>Ponto forte</t>
  </si>
  <si>
    <t>Foco de desenvolvimento</t>
  </si>
  <si>
    <t>Sandra</t>
  </si>
  <si>
    <t>ID</t>
  </si>
  <si>
    <t>Call ID</t>
  </si>
  <si>
    <t>Bloco</t>
  </si>
  <si>
    <t>Cliente</t>
  </si>
  <si>
    <t>Critério de avaliação</t>
  </si>
  <si>
    <t>Subbloco(s) da matriz</t>
  </si>
  <si>
    <t>Peso</t>
  </si>
  <si>
    <t>Nota 0</t>
  </si>
  <si>
    <t>Nota 1</t>
  </si>
  <si>
    <t>Data</t>
  </si>
  <si>
    <t>Nota 2</t>
  </si>
  <si>
    <t>A1</t>
  </si>
  <si>
    <t>Duração (min)</t>
  </si>
  <si>
    <t>Critério ID</t>
  </si>
  <si>
    <t>Cobertura</t>
  </si>
  <si>
    <t>Score</t>
  </si>
  <si>
    <t>Apresentação do(a) vendedor(a) + pitch de autoridade</t>
  </si>
  <si>
    <t>Critério alinhado à matriz</t>
  </si>
  <si>
    <t>Apresentação do(a) vendedor(a)
Pitch de autoridade Health and Safety</t>
  </si>
  <si>
    <t>Veredito</t>
  </si>
  <si>
    <t>Não se apresenta nem contextualiza a Health and Safety.</t>
  </si>
  <si>
    <t>Desfecho observado</t>
  </si>
  <si>
    <t>Apresenta pessoa ou empresa, mas de forma longa, genérica ou sem prova de autoridade.</t>
  </si>
  <si>
    <t>Apresenta-se de forma breve e usa prova de autoridade relevante, sem antecipar a demonstração.</t>
  </si>
  <si>
    <t>A2</t>
  </si>
  <si>
    <t>Nota (0/1/2)</t>
  </si>
  <si>
    <t>Agenda e contrato da conversa</t>
  </si>
  <si>
    <t>Próxima ação recomendada</t>
  </si>
  <si>
    <t>Pontos ponderados</t>
  </si>
  <si>
    <t>Não combina agenda, duração ou objetivo da reunião.</t>
  </si>
  <si>
    <t>C01</t>
  </si>
  <si>
    <t>Explica parcialmente o fluxo, sem validar o acordo com o lead.</t>
  </si>
  <si>
    <t>Evidência da transcrição</t>
  </si>
  <si>
    <t>Combina tempo e agenda: diagnóstico, demonstração, preço e próximos passos; obtém concordância.</t>
  </si>
  <si>
    <t>Concrenorte</t>
  </si>
  <si>
    <t>A3</t>
  </si>
  <si>
    <t>Incluir em comparativos?</t>
  </si>
  <si>
    <t>Mapeamento de stakeholders</t>
  </si>
  <si>
    <t>Não identifica papéis nem participantes da decisão.</t>
  </si>
  <si>
    <t>Identifica participantes ou decisor parcialmente ou apenas no fim.</t>
  </si>
  <si>
    <t>Mapeia papéis presentes, decisor, influenciadores e eventual validação técnica no início.</t>
  </si>
  <si>
    <t>D1</t>
  </si>
  <si>
    <t>Situação | Contexto do SDR, gatilho e processo atual</t>
  </si>
  <si>
    <t>Situação | Contexto do SDR e gatilho
Situação | Processo atual (com bifurcação)</t>
  </si>
  <si>
    <t>Ignora o contexto prévio e começa a apresentar o produto.</t>
  </si>
  <si>
    <t>Confirma apenas parte do contexto ou entende o processo superficialmente.</t>
  </si>
  <si>
    <t>Confirma contexto e gatilho, evita repetição e entende o fluxo atual ou o cenário de implantação.</t>
  </si>
  <si>
    <t>D2</t>
  </si>
  <si>
    <t>Situação | Histórico, escala e cobertura</t>
  </si>
  <si>
    <t>Não levanta histórico nem dimensão da operação.</t>
  </si>
  <si>
    <t>Obtém volume, unidades ou histórico, mas deixa lacunas relevantes.</t>
  </si>
  <si>
    <t>Mapeia histórico, efetivo, unidades, pontos, picos e abrangência da testagem.</t>
  </si>
  <si>
    <t>D3</t>
  </si>
  <si>
    <t>Situação | Infraestrutura, integrações e governança</t>
  </si>
  <si>
    <t>Situação | Infraestrutura e integrações
Situação | Governança do processo</t>
  </si>
  <si>
    <t>Não entende ambiente, sistemas ou responsáveis pelo processo.</t>
  </si>
  <si>
    <t>Levanta parte da infraestrutura ou da governança, sem fechar requisitos.</t>
  </si>
  <si>
    <t>Entende acesso, conectividade, integrações, responsáveis, alertas, contraprova e acesso aos dados.</t>
  </si>
  <si>
    <t>D4</t>
  </si>
  <si>
    <t>Comunicação didática, benefícios e materiais para defesa interna.</t>
  </si>
  <si>
    <t>Aprofundar impacto, evento crítico e processo decisório antes da demo.</t>
  </si>
  <si>
    <t>Dor | Gargalo operacional</t>
  </si>
  <si>
    <t>Adriana</t>
  </si>
  <si>
    <t>Não investiga a fricção do processo atual.</t>
  </si>
  <si>
    <t>Identifica um incômodo, mas não aprofunda frequência, esforço ou consequência.</t>
  </si>
  <si>
    <t>Identifica o principal gargalo e aprofunda tempo, mão de obra, filas, cobertura ou calibração.</t>
  </si>
  <si>
    <t>D5</t>
  </si>
  <si>
    <t>Cita ISO 9001, ISO 27001 e RBC, mas não usa os números de volume.</t>
  </si>
  <si>
    <t>Dor | Confiabilidade, controle e visibilidade</t>
  </si>
  <si>
    <t>Dor | Confiabilidade e controle
Dor | Visibilidade e auditoria</t>
  </si>
  <si>
    <t>Sim</t>
  </si>
  <si>
    <t>Não explora falhas de controle ou rastreabilidade.</t>
  </si>
  <si>
    <t>Reconhece uma fragilidade, mas sem investigar como ocorre ou quem é afetado.</t>
  </si>
  <si>
    <t>Explora identificação, fraude, registros, cobertura e dificuldade de recuperar evidências.</t>
  </si>
  <si>
    <t>D6</t>
  </si>
  <si>
    <t>Impacto | Segurança</t>
  </si>
  <si>
    <t>Não conecta a dor a risco para pessoas ou operação.</t>
  </si>
  <si>
    <t>Menciona risco de forma genérica, sem consequência concreta.</t>
  </si>
  <si>
    <t>Conecta a falha a incidentes, quase acidentes, terceiros ou continuidade operacional.</t>
  </si>
  <si>
    <t>D7</t>
  </si>
  <si>
    <t>Impacto | Produtividade, custo e exposição</t>
  </si>
  <si>
    <t>Impacto | Produtividade e custo
Impacto | Gestão, auditoria e exposição</t>
  </si>
  <si>
    <t>Não explora consequências operacionais, financeiras ou de auditoria.</t>
  </si>
  <si>
    <t>Obtém impactos qualitativos, mas sem dimensionar esforço ou exposição.</t>
  </si>
  <si>
    <t>Interesse alto e urgência declarada; proposta enviada por e-mail.</t>
  </si>
  <si>
    <t>Quantifica ou torna concreto o efeito em tempo, equipe, filas, custo, auditoria ou risco jurídico.</t>
  </si>
  <si>
    <t>Evidência fotográfica, plataforma e alertas bem explicados; bom material de defesa jurídica.</t>
  </si>
  <si>
    <t>D8</t>
  </si>
  <si>
    <t>Urgência de mais de um ano apareceu só no fim; faltaram dimensionamento e data de retomada.</t>
  </si>
  <si>
    <t>Síntese do diagnóstico</t>
  </si>
  <si>
    <t>Perguntar timing e aprovação no diagnóstico, recomendar a quantidade e agendar a retomada com o decisor.</t>
  </si>
  <si>
    <t>C02</t>
  </si>
  <si>
    <t>Não há agenda combinada; o preço precisa pedir licença no meio da call.</t>
  </si>
  <si>
    <t>Entra na demonstração sem resumir o que entendeu.</t>
  </si>
  <si>
    <t>Unimodal</t>
  </si>
  <si>
    <t>Retoma parte do cenário, mas não conecta dor, impacto e escala ou não valida.</t>
  </si>
  <si>
    <t>Resume dor, impacto e escala nas palavras do cliente e confirma a prioridade antes da demo.</t>
  </si>
  <si>
    <t>M1</t>
  </si>
  <si>
    <t>Processo atual, integração técnica e dimensionamento.</t>
  </si>
  <si>
    <t>Fechar riscos, decisor e próximo passo com responsável e data.</t>
  </si>
  <si>
    <t>Ponte diagnóstico → produto</t>
  </si>
  <si>
    <t>Abre o deck e inicia um tour genérico.</t>
  </si>
  <si>
    <t>Retoma o cenário, mas não prioriza o que será mostrado nem cria espaço para interação.</t>
  </si>
  <si>
    <t>Abre o deck apenas aqui, prioriza 2–3 pontos do diagnóstico e convida o lead a validar durante a demo.</t>
  </si>
  <si>
    <t>M2</t>
  </si>
  <si>
    <t>Cases e prova de capacidade</t>
  </si>
  <si>
    <t>Não apresenta prova de capacidade ou usa referências sem relação com o lead.</t>
  </si>
  <si>
    <t>Apresenta números ou logos, mas sem conectar à realidade do cliente.</t>
  </si>
  <si>
    <t>Usa escala e cases comparáveis e pergunta qual cenário mais se aproxima da operação.</t>
  </si>
  <si>
    <t>M3</t>
  </si>
  <si>
    <t>Benefício | Diferencial, cenário imaginado e rastreabilidade</t>
  </si>
  <si>
    <t>Benefício | Diferencial e cenário imaginado
Benefício | Identificação, autonomia e rastreabilidade</t>
  </si>
  <si>
    <t>Descreve funcionalidades sem contraste com o processo atual.</t>
  </si>
  <si>
    <t>Apresenta benefícios relevantes, mas de forma genérica ou pouco interativa.</t>
  </si>
  <si>
    <t>Contrasta atual e futuro, mostra identificação, autonomia e evidência e valida o impacto percebido.</t>
  </si>
  <si>
    <t>M4</t>
  </si>
  <si>
    <t>Projeto adiado para 2027; retomada sugerida pela própria cliente.</t>
  </si>
  <si>
    <t>Benefício | Sistemas de acesso e cenários de instalação</t>
  </si>
  <si>
    <t>Benefício | Sistemas de acesso e integração
Benefício | Cenários de instalação</t>
  </si>
  <si>
    <t>Boa autorização de gravação, referências do setor e recomendação coerente do portátil.</t>
  </si>
  <si>
    <t>Não conecta a solução ao ambiente físico ou aos sistemas existentes.</t>
  </si>
  <si>
    <t>Mesmo após o sinal de que não era para agora, a demonstração seguiu completa; o retorno ficou com a cliente.</t>
  </si>
  <si>
    <t>Mostra opções, mas não relaciona ao fluxo do cliente nem identifica pendências.</t>
  </si>
  <si>
    <t>Aplica integração e instalação ao fluxo real e identifica o que requer validação técnica.</t>
  </si>
  <si>
    <t>Mapear o gatilho para 2027, quem participa do budget e deixar a retomada já agendada.</t>
  </si>
  <si>
    <t>Não há apresentação de papéis; a call entra direto no assunto. | Não confirmado na abertura; a instância de decisão só aparece depois do preço.</t>
  </si>
  <si>
    <t>M5</t>
  </si>
  <si>
    <t>C03</t>
  </si>
  <si>
    <t>Benefício | Funcionamento, velocidade e contingência</t>
  </si>
  <si>
    <t>PIRECAL</t>
  </si>
  <si>
    <t>Não demonstra o funcionamento prático.</t>
  </si>
  <si>
    <t>Mostra o fluxo, mas não valida capacidade, experiência ou contingência.</t>
  </si>
  <si>
    <t>Demonstra o uso e valida velocidade, pico de pessoas, resultado e operação offline com o lead.</t>
  </si>
  <si>
    <t>M6</t>
  </si>
  <si>
    <t>Benefício | Plataforma, alertas e governança</t>
  </si>
  <si>
    <t>Não mostra registros, alertas ou perfis da plataforma.</t>
  </si>
  <si>
    <t>Mostra funcionalidades, mas sem ligá-las às necessidades de gestão.</t>
  </si>
  <si>
    <t>Conecta histórico, evidências, alertas, filtros e perfis às informações que o cliente precisa priorizar.</t>
  </si>
  <si>
    <t>M7</t>
  </si>
  <si>
    <t>Benefício | Calibração, kit e suporte</t>
  </si>
  <si>
    <t>Não esclarece calibração, kit ou suporte.</t>
  </si>
  <si>
    <t>Explica parcialmente, deixando dúvida de implantação ou continuidade.</t>
  </si>
  <si>
    <t>Explica troca do módulo, itens do kit, setup e suporte e valida o que a equipe precisa para implantar.</t>
  </si>
  <si>
    <t>M8</t>
  </si>
  <si>
    <t>Validação de percepção e dimensionamento</t>
  </si>
  <si>
    <t>Não pergunta a percepção nem recomenda configuração.</t>
  </si>
  <si>
    <t>Coleta reação ou discute quantidade, mas não fecha uma recomendação justificada.</t>
  </si>
  <si>
    <t>Valida valor e lacunas e recomenda equipamentos, pontos e eventual faseamento conforme o fluxo.</t>
  </si>
  <si>
    <t>Perguntado cedo e usado para organizar toda a call. | Não perguntado. A call segue sem saber como o resultado é guardado hoje.</t>
  </si>
  <si>
    <t>Sem verba no exercício; projeto empurrado para o ano seguinte.</t>
  </si>
  <si>
    <t>M9</t>
  </si>
  <si>
    <t>Boa composição de stakeholders, tratativa jurídica e dimensionamento em três unidades.</t>
  </si>
  <si>
    <t>Preço condicionado | Referência comercial</t>
  </si>
  <si>
    <t>Falta de verba apareceu tarde e houve erro na diluição mensal apresentada.</t>
  </si>
  <si>
    <t>Diagnosticar ciclo orçamentário no início e estruturar a proposta para a reunião de budget.</t>
  </si>
  <si>
    <t>Preço ausente, incorreto ou desconectado do escopo.</t>
  </si>
  <si>
    <t>Apresenta valores e inclusões, mas sem condicionar à quantidade ou testar aderência.</t>
  </si>
  <si>
    <t>C04</t>
  </si>
  <si>
    <t>Apresenta compra, recorrência, locação e integrações conforme o dimensionamento e pergunta como o investimento é percebido.</t>
  </si>
  <si>
    <t>Ludvig</t>
  </si>
  <si>
    <t>F1</t>
  </si>
  <si>
    <t>Evento crítico</t>
  </si>
  <si>
    <t>Não pergunta prazo, marco ou consequência de postergação.</t>
  </si>
  <si>
    <t>Identifica uma data ou urgência, mas tarde ou sem explorar a consequência.</t>
  </si>
  <si>
    <t>Mapeia data ou marco crítico e o que acontece se a implantação atrasar.</t>
  </si>
  <si>
    <t>F2</t>
  </si>
  <si>
    <t>Preço e condições</t>
  </si>
  <si>
    <t>Não confirma o investimento final ou apresenta informação inconsistente.</t>
  </si>
  <si>
    <t>Confirma preço, mas não valida escopo, condição necessária ou objeção real.</t>
  </si>
  <si>
    <t>Confirma investimento total, escopo e condições e isola o que ainda precisa ser analisado.</t>
  </si>
  <si>
    <t>F3</t>
  </si>
  <si>
    <t>Processo decisório</t>
  </si>
  <si>
    <t>Perguntado, mas sem plano B quando o cliente responde que não tem histórico. | Levanta que só equipes específicas farão o teste, mas não quantifica o efetivo.</t>
  </si>
  <si>
    <t>Não mapeia como a compra será decidida.</t>
  </si>
  <si>
    <t>Identifica parte do rito ou oferece material, mas deixa lacunas de pessoas ou etapas.</t>
  </si>
  <si>
    <t>Gravação interrompida; call não avaliável integralmente.</t>
  </si>
  <si>
    <t>Mapeia decisor, influenciadores, validação técnica, orçamento e entrada de compras ou jurídico.</t>
  </si>
  <si>
    <t>Credibilidade institucional apresentada de forma rápida.</t>
  </si>
  <si>
    <t>F4</t>
  </si>
  <si>
    <t>Cobertura insuficiente para comparar com as demais calls.</t>
  </si>
  <si>
    <t>Riscos e pontos pendentes</t>
  </si>
  <si>
    <t>Garantir gravação integral e substituir esta amostra por uma call completa.</t>
  </si>
  <si>
    <t>Não pergunta o que pode impedir o avanço.</t>
  </si>
  <si>
    <t>C05</t>
  </si>
  <si>
    <t>Percebe uma objeção, mas não a explicita nem prioriza.</t>
  </si>
  <si>
    <t>Pergunta diretamente e identifica o maior risco entre aderência, integração, prazo e investimento.</t>
  </si>
  <si>
    <t>F5</t>
  </si>
  <si>
    <t>Arauco Brasil</t>
  </si>
  <si>
    <t>Validação técnica adicional — se necessária</t>
  </si>
  <si>
    <t>Existe pendência técnica e ela é ignorada.</t>
  </si>
  <si>
    <t>Reconhece a pendência, mas não define objetivo, participantes ou perguntas.</t>
  </si>
  <si>
    <t>Quando necessária, propõe reunião técnica objetiva com participantes e questões definidos; use N/A quando não se aplicar.</t>
  </si>
  <si>
    <t>F6</t>
  </si>
  <si>
    <t>Próximo passo com compromisso</t>
  </si>
  <si>
    <t>Encerra com envio de proposta ou retorno aberto.</t>
  </si>
  <si>
    <t>Define uma ação, mas sem data ou responsáveis claros dos dois lados.</t>
  </si>
  <si>
    <t>Levantado antes de falar de instalação. | Nunca perguntado. Sem esse número a ancoragem de preço fica sem base.</t>
  </si>
  <si>
    <t>Fecha ação, responsáveis, data e deixa o retorno ou reunião já agendado.</t>
  </si>
  <si>
    <t>Como escalar a planilha</t>
  </si>
  <si>
    <t>1</t>
  </si>
  <si>
    <t>Adicionar uma linha na aba Calls.</t>
  </si>
  <si>
    <t>2</t>
  </si>
  <si>
    <t>Adicionar 26 linhas na aba Avaliacoes — uma para cada critério — repetindo Call ID, responsável e cliente.</t>
  </si>
  <si>
    <t>3</t>
  </si>
  <si>
    <t>Preencher nota e evidência. Use N/A apenas quando o trecho não estiver disponível ou o critério condicional não se aplicar.</t>
  </si>
  <si>
    <t>Pedido de propostas para um e três equipamentos; bloqueio de capex.</t>
  </si>
  <si>
    <t>Nunca perguntado. Sem esse número a ancoragem de preço fica sem base.</t>
  </si>
  <si>
    <t>Melhor dimensionamento da rodada, POC oferecida e bom levantamento do processo atual.</t>
  </si>
  <si>
    <t>Faixa</t>
  </si>
  <si>
    <t>De</t>
  </si>
  <si>
    <t>Até</t>
  </si>
  <si>
    <t>Leitura</t>
  </si>
  <si>
    <t>Capex descoberto depois do preço; valor da calibração divergiu do padrão usado em outras calls.</t>
  </si>
  <si>
    <t>Call informativa — não avançou o negócio</t>
  </si>
  <si>
    <t>Dimensionar antes do preço e usar a POC como caminho formal para destravar o capex.</t>
  </si>
  <si>
    <t>Call frágil — valor percebido parcial</t>
  </si>
  <si>
    <t>Boa call, com gaps claros</t>
  </si>
  <si>
    <t>C06</t>
  </si>
  <si>
    <t>4</t>
  </si>
  <si>
    <t>Leblon Transporte</t>
  </si>
  <si>
    <t>Call padrão ouro</t>
  </si>
  <si>
    <t>Perguntado, mas sem plano B quando o cliente responde que não tem histórico. | Não perguntado. A call segue sem saber como o resultado é guardado hoje.</t>
  </si>
  <si>
    <t>Perguntado, mas sem plano B quando o cliente responde que não tem histórico.</t>
  </si>
  <si>
    <t>Interesse técnico confirmado; encerrada sem próximo passo.</t>
  </si>
  <si>
    <t>Discussão técnica consistente sobre API/Wiegand e bom diagnóstico do registro manual.</t>
  </si>
  <si>
    <t>A call terminou sem decisor, CNPJ, data ou compromisso de avanço.</t>
  </si>
  <si>
    <t>Fechar com síntese de fit, mapa de decisão, dados para proposta e data do próximo passo.</t>
  </si>
  <si>
    <t>C07</t>
  </si>
  <si>
    <t>Rota Transportes</t>
  </si>
  <si>
    <t>Aparece dentro da demo, nunca como bloco de retorno. | Nunca construído. Não existe cenário de inação em nenhuma das sete calls.</t>
  </si>
  <si>
    <t>Não há priorização; a apresentação cobre tudo com o mesmo peso. | Não há validação do problema antes de apresentar a solução.</t>
  </si>
  <si>
    <t>Alto potencial; contato atuava como triagem para a diretoria.</t>
  </si>
  <si>
    <t>Cliente revelou alto volume, risco e interesse em API; boa resposta técnica.</t>
  </si>
  <si>
    <t>A conta anual apresentada não fechou e o decisor não estava na reunião.</t>
  </si>
  <si>
    <t>Corrigir a referência comercial e propor participação direta na apresentação à diretoria.</t>
  </si>
  <si>
    <t>Apresenta o iBlue 10 Pro como o mesmo da PRF e mostra vídeo. | Lista de logos apresentada, mas igual para todos os setores.</t>
  </si>
  <si>
    <t>Destrava o entendimento da cliente: 'agora sim, entendi, e a foto'. | Comparativo bem executado, mas genérico - não usa o processo que o cliente descreveu.</t>
  </si>
  <si>
    <t>Os três cenários são apresentados iguais, sem recomendar um para o caso. | Não tratado.</t>
  </si>
  <si>
    <t>Neutraliza o constrangimento antes de virar objeção: 'Reprovado' x 'Sopro finalizado'. | Rodado com boa reação; prova visual da instalação.</t>
  </si>
  <si>
    <t>Bem apresentado, com print da mensagem e exemplo de resgate de histórico.</t>
  </si>
  <si>
    <t>Kit, garantia, módulo calibrado, 1 ano de plataforma e setup detalhados. | Argumento forte, sobretudo com quem já sofre com o envio do portátil ao laboratorio.</t>
  </si>
  <si>
    <t>Pergunta a impressão do cliente antes de encerrar. Bom habito consistente. | A demo termina sem recomendação nominal; o cliente sai sem saber o que comprar.</t>
  </si>
  <si>
    <t>Kit, garantia, módulo calibrado, 1 ano de plataforma e setup detalhados. | Aparece solto ao longo da conversa, nunca como lista.</t>
  </si>
  <si>
    <t>A urgência real ('mais de um ano correndo atrás') surge aos 55:18, sem tempo de uso. | Nunca construído. Não existe cenário de inação em nenhuma das sete calls.</t>
  </si>
  <si>
    <t>R$ 24.500 + R$ 3.200/ano (R$ 700 calibração + R$ 2.500 plataforma). Conta fecha. | Dilui por 12 meses (R$ 267/mes), mas sem referência ao custo atual do cliente.</t>
  </si>
  <si>
    <t>Alem do deck, envia material sobre implantação, justa causa e o artigo 482 da CLT. | Nunca proposto. A proposta e defendida pelo cliente, sozinho.</t>
  </si>
  <si>
    <t>Pergunta a impressão do cliente antes de encerrar. Bom habito consistente. | Pergunta o prazo de contratação e descobre que há urgência real - tarde, mas pergunta.</t>
  </si>
  <si>
    <t>Não tratado.</t>
  </si>
  <si>
    <t>Coletado para destravar a emissao da proposta. | Compromete-se a enviar a proposta até o dia seguinte, mas não marca retomada.</t>
  </si>
  <si>
    <t>Cita '+20 anos' e as ISOs; sem os números de base.</t>
  </si>
  <si>
    <t>Levantado com clareza no início da conversa. | Cliente responde que não houve casos e a conversa muda de assunto sem explorar risco.</t>
  </si>
  <si>
    <t>Cliente responde que não houve casos e a conversa muda de assunto sem explorar risco. | Não perguntado. A call segue sem saber como o resultado é guardado hoje.</t>
  </si>
  <si>
    <t>Cliente responde que não houve casos e a conversa muda de assunto sem explorar risco.</t>
  </si>
  <si>
    <t>Usado como diferenciação de fornecedor, com boa reação. | Cita '+20 anos' e as ISOs; sem os números de base.</t>
  </si>
  <si>
    <t>Explicado com clareza; é o argumento que fecha a porta da burla. | Comparativo bem executado, mas genérico - não usa o processo que o cliente descreveu.</t>
  </si>
  <si>
    <t>Neutraliza o constrangimento antes de virar objeção: 'Reprovado' x 'Sopro finalizado'. | Tenta compartilhar, o áudio não passa e o vídeo acaba enviado depois por WhatsApp.</t>
  </si>
  <si>
    <t>Kit, garantia, módulo calibrado, 1 ano de plataforma e setup detalhados. | Entra em valores sem pedir permissao.</t>
  </si>
  <si>
    <t>Cliente sinaliza aos 19:24 que é projeto do ano seguinte; a demo segue completa mesmo assim. | Nunca construído. Não existe cenário de inação em nenhuma das sete calls.</t>
  </si>
  <si>
    <t>Não oferecidas; a conversa fica só no preço de tabela. | Numero apresentado com clareza, mas divergente entre vendedores.</t>
  </si>
  <si>
    <t>Promete enviar apresentação e vídeos, sem versão resumida para decisor. | Nunca proposto. A proposta e defendida pelo cliente, sozinho.</t>
  </si>
  <si>
    <t>Pergunta a impressão do cliente antes de encerrar. Bom habito consistente. | Perguntado tarde e sem aprofundar o rito.</t>
  </si>
  <si>
    <t>Coletado para destravar a emissao da proposta. | Há um mes combinado (fevereiro), mas quem propos foi a cliente.</t>
  </si>
  <si>
    <t>Cita as ISOs e a LGPD; sem os números de base.</t>
  </si>
  <si>
    <t>O jurídico esta na sala, o que aproxima do decisor, mas a alçada nunca é confirmada. | Os papéis (coordenador de segurança e jurídico) são identificados por pergunta aos 0:50, não por apresentação.</t>
  </si>
  <si>
    <t>Levanta 3 unidades industriais, escritório, ~280 pessoas e turnos. Melhor diagnóstico estrutural das sete. | O jurídico traz o tema sozinho; a pergunta não partiu da vendedora.</t>
  </si>
  <si>
    <t>Confirma que o acesso é por ponto biométrico e descarta a integração com catraca na hora. | Nunca perguntado. Sem esse número a ancoragem de preço fica sem base.</t>
  </si>
  <si>
    <t>O jurídico traz o tema sozinho; a pergunta não partiu da vendedora. | Não perguntado. A call segue sem saber como o resultado é guardado hoje.</t>
  </si>
  <si>
    <t>O jurídico traz o tema sozinho; a pergunta não partiu da vendedora.</t>
  </si>
  <si>
    <t>Cita as ISOs e a LGPD; sem os números de base. | Cita mineradoras e Gerdau; próximo do setor, mas sem conexão explícita.</t>
  </si>
  <si>
    <t>Os três cenários são apresentados iguais, sem recomendar um para o caso. | Mencionada a possibilidade com catraca, sem avancar.</t>
  </si>
  <si>
    <t>O cliente chega ao número (3 unidades) e a vendedora confirma. | A demo termina sem recomendação nominal; o cliente sai sem saber o que comprar.</t>
  </si>
  <si>
    <t>Kit, garantia, módulo calibrado, 1 ano de plataforma e setup detalhados. | Mesma estrutura, mas a diluição mensal sai como R$ 287 em vez de R$ 267.</t>
  </si>
  <si>
    <t>'Não tem perspectiva nenhuma para esse ano' aparece aos 47:34 de uma call de 51 minutos. | Nunca construído. Não existe cenário de inação em nenhuma das sete calls.</t>
  </si>
  <si>
    <t>Não oferecidas; a conversa fica só no preço de tabela. | Mesma estrutura, mas a diluição mensal sai como R$ 287 em vez de R$ 267.</t>
  </si>
  <si>
    <t>Mesmo material de apoio jurídico, pedido pelo próprio cliente. | Nunca proposto. A proposta e defendida pelo cliente, sozinho.</t>
  </si>
  <si>
    <t>Pergunta a impressão do cliente antes de encerrar. Bom habito consistente. | Confirma que passa por diretoria e capex, já no encerramento.</t>
  </si>
  <si>
    <t>Mencionada a possibilidade com catraca, sem avancar.</t>
  </si>
  <si>
    <t>Coletado para destravar a emissao da proposta. | Encerra com 'a gente se fala'; sem data e sem dono.</t>
  </si>
  <si>
    <t>Cita +20 anos, as ISOs e o reconhecimento internacional em 9 minutos de call.</t>
  </si>
  <si>
    <t>Não</t>
  </si>
  <si>
    <t>N/A</t>
  </si>
  <si>
    <t>Trecho não disponível, não aplicável ou cobertura insuficiente na gravação.</t>
  </si>
  <si>
    <t>Só aos 1:37 pergunta a área da interlocutora, já depois de ter falado do processo.</t>
  </si>
  <si>
    <t>Pergunta se já usam bafômetro de bastão, mas não explora a política em volta.</t>
  </si>
  <si>
    <t>Pergunta o quantitativo, recebe 'não tenho essa informação exata' e segue sem insistir.</t>
  </si>
  <si>
    <t>Levanta que são motoristas e que o teste acontece na guarita, mas não aprofunda.</t>
  </si>
  <si>
    <t>Cita +20 anos, as ISOs e o reconhecimento internacional em 9 minutos de call. | Lista de logos apresentada, mas igual para todos os setores.</t>
  </si>
  <si>
    <t>Começa a explicar mas a gravação corta antes de concluir. | Comparativo apresentado, porem a gravação corta no meio do bloco.</t>
  </si>
  <si>
    <t>Toca o tema da catraca e encerra por não se aplicar.</t>
  </si>
  <si>
    <t>Apresentado com números (20 mi de testes, 145 mil usuarios) e certificações.</t>
  </si>
  <si>
    <t>'Como é registrado esse teste? Ele assina um termo específico?' - resposta abre o gargalo do registro manual. | Perguntado cedo e usado para organizar toda a call.</t>
  </si>
  <si>
    <t>Levantado com clareza no início da conversa. | Perguntado, mas sem plano B quando o cliente responde que não tem histórico.</t>
  </si>
  <si>
    <t>Chega aos nomes: W-Access, Senior, Montenegro e Ponta Grossa - mas quem puxou foi o cliente. | Nunca perguntado. Sem esse número a ancoragem de preço fica sem base.</t>
  </si>
  <si>
    <t>'Como é registrado esse teste? Ele assina um termo específico?' - resposta abre o gargalo do registro manual. | Perguntado, mas sem plano B quando o cliente responde que não tem histórico.</t>
  </si>
  <si>
    <t>Apresentado com números (20 mi de testes, 145 mil usuarios) e certificações. | Lista genérica; não cita nenhum caso de madeira ou celulose.</t>
  </si>
  <si>
    <t>Explicado com clareza; é o argumento que fecha a porta da burla. | Conecta com o termo assinado que a cliente acabou de descrever.</t>
  </si>
  <si>
    <t>Os três cenários são apresentados iguais, sem recomendar um para o caso. | Responde sobre W-Access e Senior, mas assume que 'integra com qualquer sistema' sem checar.</t>
  </si>
  <si>
    <t>Sai da call com pedido de duas propostas, de 1 e de 3 equipamentos, dimensionadas com o cliente. | Chega perto: discute onde instalar diante das três catracas do cliente.</t>
  </si>
  <si>
    <t>Oferece POC de 30 dias por iniciativa própria - única vez nas sete calls. | Entra em valores sem pedir permissao.</t>
  </si>
  <si>
    <t>O capex aparece aos 32:12, já depois do preço. | Nunca construído. Não existe cenário de inação em nenhuma das sete calls.</t>
  </si>
  <si>
    <t>Oferece POC de 30 dias por iniciativa própria - única vez nas sete calls. | Calibração dita como R$ 600 - divergente da versão da Sandra.</t>
  </si>
  <si>
    <t>Responde sobre W-Access e Senior, mas assume que 'integra com qualquer sistema' sem checar.</t>
  </si>
  <si>
    <t>Aos 3:52 apresenta a si como comercial e o Gabriel como suporte técnico de TI, com o papel de cada um. | Não confirmado na abertura; a instância de decisão só aparece depois do preço.</t>
  </si>
  <si>
    <t>'Como é que vocês guardam esse registro? Ele assina algum papel?' - cliente descreve o formulário assinado. | Perguntado cedo e usado para organizar toda a call.</t>
  </si>
  <si>
    <t>Chega ao cartão Mifare e a discussão de API, com o TI do cliente na sala. | Nunca perguntado. Sem esse número a ancoragem de preço fica sem base.</t>
  </si>
  <si>
    <t>'Como é que vocês guardam esse registro? Ele assina algum papel?' - cliente descreve o formulário assinado. | Perguntado, mas sem plano B quando o cliente responde que não tem histórico.</t>
  </si>
  <si>
    <t>Apresentado com números (20 mi de testes, 145 mil usuarios) e certificações. | Lista de logos apresentada, mas igual para todos os setores.</t>
  </si>
  <si>
    <t>Explicado com clareza; é o argumento que fecha a porta da burla. | Conecta com o formulário manual que o cliente descreveu há poucos minutos.</t>
  </si>
  <si>
    <t>Melhor tratativa das sete: Gabriel explica API, conector Wiegand e o requisito de conexão. | Comenta que o local será a área de liberação da ficha, mas não desenha a configuração.</t>
  </si>
  <si>
    <t>Não perguntado. A informação aparece por conta do cliente, sempre no fim. | Nunca construído. Não existe cenário de inação em nenhuma das sete calls.</t>
  </si>
  <si>
    <t>R$ 700 + R$ 2.500 = R$ 3.200. Conta fecha e inclui a regra de locação. | Compara com o salário de quem faz a testagem, mas usa um valor hipotético, não o do cliente.</t>
  </si>
  <si>
    <t>Melhor tratativa das sete: Gabriel explica API, conector Wiegand e o requisito de conexão.</t>
  </si>
  <si>
    <t>Encerra sem confirmar contato ou CNPJ. | Encerra com 'a gente se fala'; sem data e sem dono.</t>
  </si>
  <si>
    <t>Perguntado cedo e usado para organizar toda a call. | Não pergunta, mas o cliente entrega sozinho: impressão de cupom e 'você fica refém do cara mostrar o teste'.</t>
  </si>
  <si>
    <t>Levanta 2.500 pessoas testadas e mais de 1.000 veículos, com o fluxo de largada. | Cliente traz espontaneamente o risco com passageiros; a vendedora aproveita mas não aprofunda.</t>
  </si>
  <si>
    <t>Chega ao Platform Science e ao desejo de consumir o resultado via API. | Nunca perguntado. Sem esse número a ancoragem de preço fica sem base.</t>
  </si>
  <si>
    <t>Cliente traz espontaneamente o risco com passageiros; a vendedora aproveita mas não aprofunda. | Não pergunta, mas o cliente entrega sozinho: impressão de cupom e 'você fica refém do cara mostrar o teste'.</t>
  </si>
  <si>
    <t>Cliente traz espontaneamente o risco com passageiros; a vendedora aproveita mas não aprofunda.</t>
  </si>
  <si>
    <t>Confirma acesso a base de dados e API para o TI do cliente. | Cliente pergunta onde ficaria; a resposta volta para os três cenários padrão.</t>
  </si>
  <si>
    <t>Só responde sobre POC porque o cliente pergunta no fim. | R$ 600 + R$ 2.500 anunciados como R$ 3.200 no total. A conta não fecha na frente do cliente.</t>
  </si>
  <si>
    <t>Pergunta a impressão do cliente antes de encerrar. Bom habito consistente. | O cliente se define como 'triagem' e a vendedora não pergunta quem decide de fato.</t>
  </si>
  <si>
    <t>Confirma acesso a base de dados e API para o TI do cliente.</t>
  </si>
  <si>
    <t>Cliente oferece o e-mail espontaneamente. | Encerra com 'a gente se fala'; sem data e sem dono.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</si>
</sst>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"/>
    <numFmt numFmtId="165" formatCode="dd/mm/yyyy"/>
  </numFmts>
  <fonts count="6">
    <font>
      <sz val="11.0"/>
      <color rgb="FF000000"/>
      <name val="Carlito"/>
      <scheme val="minor"/>
    </font>
    <font>
      <b/>
      <sz val="16.0"/>
      <color rgb="FF326265"/>
      <name val="Arial"/>
    </font>
    <font>
      <i/>
      <sz val="10.0"/>
      <color rgb="FF526466"/>
      <name val="Arial"/>
    </font>
    <font>
      <b/>
      <sz val="10.0"/>
      <color rgb="FFFFFFFF"/>
      <name val="Arial"/>
    </font>
    <font>
      <sz val="10.0"/>
      <color rgb="FF243436"/>
      <name val="Arial"/>
    </font>
    <font>
      <b/>
      <sz val="11.0"/>
      <color rgb="FFFFFFFF"/>
      <name val="Arial"/>
    </font>
  </fonts>
  <fills count="4">
    <fill>
      <patternFill patternType="none"/>
    </fill>
    <fill>
      <patternFill patternType="lightGray"/>
    </fill>
    <fill>
      <patternFill patternType="solid">
        <fgColor rgb="FF326265"/>
        <bgColor rgb="FF326265"/>
      </patternFill>
    </fill>
    <fill>
      <patternFill patternType="solid">
        <fgColor rgb="FF009EA1"/>
        <bgColor rgb="FF009EA1"/>
      </patternFill>
    </fill>
  </fills>
  <borders count="3">
    <border/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  <border>
      <left style="thin">
        <color rgb="FFB8C8C9"/>
      </left>
      <right style="thin">
        <color rgb="FFB8C8C9"/>
      </right>
      <top style="thin">
        <color rgb="FFB8C8C9"/>
      </top>
      <bottom style="thin">
        <color rgb="FFB8C8C9"/>
      </bottom>
    </border>
  </borders>
  <cellStyleXfs count="1">
    <xf borderId="0" fillId="0" fontId="0" numFmtId="0" applyAlignment="1" applyFont="1"/>
  </cellStyleXfs>
  <cellXfs count="15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vertical="center"/>
    </xf>
    <xf borderId="0" fillId="0" fontId="2" numFmtId="0" xfId="0" applyFont="1"/>
    <xf borderId="1" fillId="2" fontId="3" numFmtId="0" xfId="0" applyAlignment="1" applyBorder="1" applyFill="1" applyFont="1">
      <alignment horizontal="center" shrinkToFit="0" vertical="center" wrapText="1"/>
    </xf>
    <xf borderId="2" fillId="0" fontId="4" numFmtId="0" xfId="0" applyAlignment="1" applyBorder="1" applyFont="1">
      <alignment shrinkToFit="0" vertical="top" wrapText="1"/>
    </xf>
    <xf borderId="2" fillId="0" fontId="4" numFmtId="1" xfId="0" applyAlignment="1" applyBorder="1" applyFont="1" applyNumberFormat="1">
      <alignment shrinkToFit="0" vertical="top" wrapText="1"/>
    </xf>
    <xf borderId="1" fillId="2" fontId="3" numFmtId="0" xfId="0" applyAlignment="1" applyBorder="1" applyFill="1" applyFont="1">
      <alignment horizontal="center" readingOrder="0" shrinkToFit="0" vertical="center" wrapText="1"/>
    </xf>
    <xf borderId="2" fillId="0" fontId="4" numFmtId="164" xfId="0" applyAlignment="1" applyBorder="1" applyFont="1" applyNumberFormat="1">
      <alignment shrinkToFit="0" vertical="top" wrapText="1"/>
    </xf>
    <xf borderId="2" fillId="0" fontId="4" numFmtId="0" xfId="0" applyAlignment="1" applyBorder="1" applyFont="1">
      <alignment shrinkToFit="0" vertical="top" wrapText="1"/>
    </xf>
    <xf borderId="2" fillId="0" fontId="4" numFmtId="165" xfId="0" applyAlignment="1" applyBorder="1" applyFont="1" applyNumberFormat="1">
      <alignment shrinkToFit="0" vertical="top" wrapText="1"/>
    </xf>
    <xf borderId="2" fillId="0" fontId="4" numFmtId="164" xfId="0" applyAlignment="1" applyBorder="1" applyFont="1" applyNumberFormat="1">
      <alignment shrinkToFit="0" vertical="top" wrapText="1"/>
    </xf>
    <xf borderId="2" fillId="0" fontId="4" numFmtId="0" xfId="0" applyAlignment="1" applyBorder="1" applyFont="1">
      <alignment horizontal="center" shrinkToFit="0" vertical="top" wrapText="1"/>
    </xf>
    <xf borderId="2" fillId="0" fontId="4" numFmtId="9" xfId="0" applyAlignment="1" applyBorder="1" applyFont="1" applyNumberFormat="1">
      <alignment shrinkToFit="0" vertical="top" wrapText="1"/>
    </xf>
    <xf borderId="2" fillId="0" fontId="4" numFmtId="9" xfId="0" applyAlignment="1" applyBorder="1" applyFont="1" applyNumberFormat="1">
      <alignment shrinkToFit="0" vertical="top" wrapText="1"/>
    </xf>
    <xf borderId="0" fillId="3" fontId="5" numFmtId="0" xfId="0" applyAlignment="1" applyFill="1" applyFont="1">
      <alignment vertical="center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3">
    <tableStyle count="4" pivot="0" name="Avaliacoe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Call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Criterios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L8" displayName="CallsHS" name="CallsHS" id="2">
  <tableColumns count="12">
    <tableColumn name="Call ID" id="1"/>
    <tableColumn name="Cliente" id="2"/>
    <tableColumn name="Responsável" id="3"/>
    <tableColumn name="Data" id="4"/>
    <tableColumn name="Duração (min)" id="5"/>
    <tableColumn name="Cobertura" id="6"/>
    <tableColumn name="Score" id="7"/>
    <tableColumn name="Veredito" id="8"/>
    <tableColumn name="Desfecho observado" id="9"/>
    <tableColumn name="Ponto forte" id="10"/>
    <tableColumn name="Foco de desenvolvimento" id="11"/>
    <tableColumn name="Próxima ação recomendada" id="12"/>
  </tableColumns>
  <tableStyleInfo name="Calls-style" showColumnStripes="0" showFirstColumn="1" showLastColumn="1" showRowStripes="1"/>
</table>
</file>

<file path=xl/tables/table2.xml><?xml version="1.0" encoding="utf-8"?>
<table xmlns="http://schemas.openxmlformats.org/spreadsheetml/2006/main" ref="A1:M183" displayName="AvaliacoesHS" name="AvaliacoesHS" id="3">
  <tableColumns count="13">
    <tableColumn name="Call ID" id="1"/>
    <tableColumn name="Cliente" id="2"/>
    <tableColumn name="Responsável" id="3"/>
    <tableColumn name="Data" id="4"/>
    <tableColumn name="Bloco" id="5"/>
    <tableColumn name="Critério ID" id="6"/>
    <tableColumn name="Critério alinhado à matriz" id="7"/>
    <tableColumn name="Subbloco(s) da matriz" id="8"/>
    <tableColumn name="Peso" id="9"/>
    <tableColumn name="Nota (0/1/2)" id="10"/>
    <tableColumn name="Pontos ponderados" id="11"/>
    <tableColumn name="Evidência da transcrição" id="12"/>
    <tableColumn name="Incluir em comparativos?" id="13"/>
  </tableColumns>
  <tableStyleInfo name="Avaliacoes-style" showColumnStripes="0" showFirstColumn="1" showLastColumn="1" showRowStripes="1"/>
</table>
</file>

<file path=xl/tables/table3.xml><?xml version="1.0" encoding="utf-8"?>
<table xmlns="http://schemas.openxmlformats.org/spreadsheetml/2006/main" ref="A1:H27" displayName="CriteriosHS" name="CriteriosHS" id="1">
  <tableColumns count="8">
    <tableColumn name="ID" id="1"/>
    <tableColumn name="Bloco" id="2"/>
    <tableColumn name="Critério de avaliação" id="3"/>
    <tableColumn name="Subbloco(s) da matriz" id="4"/>
    <tableColumn name="Peso" id="5"/>
    <tableColumn name="Nota 0" id="6"/>
    <tableColumn name="Nota 1" id="7"/>
    <tableColumn name="Nota 2" id="8"/>
  </tableColumns>
  <tableStyleInfo name="Criterio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326265"/>
    <pageSetUpPr/>
  </sheetPr>
  <sheetViews>
    <sheetView showGridLines="0" workbookViewId="0">
      <pane ySplit="5.0" topLeftCell="A6" activePane="bottomLeft" state="frozen"/>
      <selection activeCell="B7" sqref="B7" pane="bottomLeft"/>
    </sheetView>
  </sheetViews>
  <sheetFormatPr customHeight="1" defaultColWidth="12.63" defaultRowHeight="15.0"/>
  <cols>
    <col customWidth="1" min="1" max="1" width="20.0"/>
    <col customWidth="1" min="2" max="2" width="16.0"/>
    <col customWidth="1" min="3" max="8" width="15.0"/>
    <col customWidth="1" min="9" max="10" width="48.0"/>
    <col customWidth="1" min="11" max="26" width="8.63"/>
  </cols>
  <sheetData>
    <row r="2" ht="30.0" customHeight="1">
      <c r="A2" s="1" t="s">
        <v>0</v>
      </c>
    </row>
    <row r="3" ht="24.0" customHeight="1">
      <c r="A3" s="2" t="s">
        <v>1</v>
      </c>
    </row>
    <row r="5" ht="30.0" customHeight="1">
      <c r="A5" s="3" t="s">
        <v>2</v>
      </c>
      <c r="B5" s="3" t="s">
        <v>3</v>
      </c>
      <c r="C5" s="3" t="s">
        <v>4</v>
      </c>
      <c r="D5" s="3" t="s">
        <v>5</v>
      </c>
      <c r="E5" s="3" t="s">
        <v>6</v>
      </c>
      <c r="F5" s="3" t="s">
        <v>7</v>
      </c>
      <c r="G5" s="3" t="s">
        <v>8</v>
      </c>
      <c r="H5" s="3" t="s">
        <v>9</v>
      </c>
      <c r="I5" s="3" t="s">
        <v>10</v>
      </c>
      <c r="J5" s="3" t="s">
        <v>11</v>
      </c>
    </row>
    <row r="6" ht="48.0" customHeight="1">
      <c r="A6" s="4" t="s">
        <v>12</v>
      </c>
      <c r="B6" s="5">
        <f>IF($A6="","",COUNTIFS(Calls!$C$2:$C$200,$A6,Calls!$F$2:$F$200,"&gt;=0.7"))</f>
        <v>0</v>
      </c>
      <c r="C6" s="7" t="str">
        <f>IF($A6="","",IFERROR(SUMIFS(Calls!$G$2:$G$200,Calls!$C$2:$C$200,$A6,Calls!$F$2:$F$200,"&gt;=0.7")/COUNTIFS(Calls!$C$2:$C$200,$A6,Calls!$F$2:$F$200,"&gt;=0.7"),""))</f>
        <v/>
      </c>
      <c r="D6" s="7">
        <f>IF($A6="","",IFERROR(SUMIFS(Avaliacoes!$K$2:$K$2000,Avaliacoes!$C$2:$C$2000,$A6,Avaliacoes!$E$2:$E$2000,"Abertura",Avaliacoes!$M$2:$M$2000,"Sim")/SUMIFS(Avaliacoes!$I$2:$I$2000,Avaliacoes!$C$2:$C$2000,$A6,Avaliacoes!$E$2:$E$2000,"Abertura",Avaliacoes!$J$2:$J$2000,"&gt;=0",Avaliacoes!$M$2:$M$2000,"Sim")*100,""))</f>
        <v>35</v>
      </c>
      <c r="E6" s="7">
        <f>IF($A6="","",IFERROR(SUMIFS(Avaliacoes!$K$2:$K$2000,Avaliacoes!$C$2:$C$2000,$A6,Avaliacoes!$E$2:$E$2000,"Diagnóstico",Avaliacoes!$M$2:$M$2000,"Sim")/SUMIFS(Avaliacoes!$I$2:$I$2000,Avaliacoes!$C$2:$C$2000,$A6,Avaliacoes!$E$2:$E$2000,"Diagnóstico",Avaliacoes!$J$2:$J$2000,"&gt;=0",Avaliacoes!$M$2:$M$2000,"Sim")*100,""))</f>
        <v>45</v>
      </c>
      <c r="F6" s="7">
        <f>IF($A6="","",IFERROR(SUMIFS(Avaliacoes!$K$2:$K$2000,Avaliacoes!$C$2:$C$2000,$A6,Avaliacoes!$E$2:$E$2000,"Demonstração",Avaliacoes!$M$2:$M$2000,"Sim")/SUMIFS(Avaliacoes!$I$2:$I$2000,Avaliacoes!$C$2:$C$2000,$A6,Avaliacoes!$E$2:$E$2000,"Demonstração",Avaliacoes!$J$2:$J$2000,"&gt;=0",Avaliacoes!$M$2:$M$2000,"Sim")*100,""))</f>
        <v>61.66666667</v>
      </c>
      <c r="G6" s="7">
        <f>IF($A6="","",IFERROR(SUMIFS(Avaliacoes!$K$2:$K$2000,Avaliacoes!$C$2:$C$2000,$A6,Avaliacoes!$E$2:$E$2000,"Fechamento",Avaliacoes!$M$2:$M$2000,"Sim")/SUMIFS(Avaliacoes!$I$2:$I$2000,Avaliacoes!$C$2:$C$2000,$A6,Avaliacoes!$E$2:$E$2000,"Fechamento",Avaliacoes!$J$2:$J$2000,"&gt;=0",Avaliacoes!$M$2:$M$2000,"Sim")*100,""))</f>
        <v>45.83333333</v>
      </c>
      <c r="H6" s="12">
        <f>IF($A6="","",IFERROR(SUMIFS(Calls!$F$2:$F$200,Calls!$C$2:$C$200,$A6)/COUNTIF(Calls!$C$2:$C$200,$A6),""))</f>
        <v>0.8325</v>
      </c>
      <c r="I6" s="4" t="s">
        <v>72</v>
      </c>
      <c r="J6" s="4" t="s">
        <v>73</v>
      </c>
    </row>
    <row r="7" ht="48.0" customHeight="1">
      <c r="A7" s="4" t="s">
        <v>75</v>
      </c>
      <c r="B7" s="5">
        <f>IF($A7="","",COUNTIFS(Calls!$C$2:$C$200,$A7,Calls!$F$2:$F$200,"&gt;=0.7"))</f>
        <v>0</v>
      </c>
      <c r="C7" s="7" t="str">
        <f>IF($A7="","",IFERROR(SUMIFS(Calls!$G$2:$G$200,Calls!$C$2:$C$200,$A7,Calls!$F$2:$F$200,"&gt;=0.7")/COUNTIFS(Calls!$C$2:$C$200,$A7,Calls!$F$2:$F$200,"&gt;=0.7"),""))</f>
        <v/>
      </c>
      <c r="D7" s="7">
        <f>IF($A7="","",IFERROR(SUMIFS(Avaliacoes!$K$2:$K$2000,Avaliacoes!$C$2:$C$2000,$A7,Avaliacoes!$E$2:$E$2000,"Abertura",Avaliacoes!$M$2:$M$2000,"Sim")/SUMIFS(Avaliacoes!$I$2:$I$2000,Avaliacoes!$C$2:$C$2000,$A7,Avaliacoes!$E$2:$E$2000,"Abertura",Avaliacoes!$J$2:$J$2000,"&gt;=0",Avaliacoes!$M$2:$M$2000,"Sim")*100,""))</f>
        <v>50</v>
      </c>
      <c r="E7" s="7">
        <f>IF($A7="","",IFERROR(SUMIFS(Avaliacoes!$K$2:$K$2000,Avaliacoes!$C$2:$C$2000,$A7,Avaliacoes!$E$2:$E$2000,"Diagnóstico",Avaliacoes!$M$2:$M$2000,"Sim")/SUMIFS(Avaliacoes!$I$2:$I$2000,Avaliacoes!$C$2:$C$2000,$A7,Avaliacoes!$E$2:$E$2000,"Diagnóstico",Avaliacoes!$J$2:$J$2000,"&gt;=0",Avaliacoes!$M$2:$M$2000,"Sim")*100,""))</f>
        <v>49.16666667</v>
      </c>
      <c r="F7" s="7">
        <f>IF($A7="","",IFERROR(SUMIFS(Avaliacoes!$K$2:$K$2000,Avaliacoes!$C$2:$C$2000,$A7,Avaliacoes!$E$2:$E$2000,"Demonstração",Avaliacoes!$M$2:$M$2000,"Sim")/SUMIFS(Avaliacoes!$I$2:$I$2000,Avaliacoes!$C$2:$C$2000,$A7,Avaliacoes!$E$2:$E$2000,"Demonstração",Avaliacoes!$J$2:$J$2000,"&gt;=0",Avaliacoes!$M$2:$M$2000,"Sim")*100,""))</f>
        <v>67.77777778</v>
      </c>
      <c r="G7" s="7">
        <f>IF($A7="","",IFERROR(SUMIFS(Avaliacoes!$K$2:$K$2000,Avaliacoes!$C$2:$C$2000,$A7,Avaliacoes!$E$2:$E$2000,"Fechamento",Avaliacoes!$M$2:$M$2000,"Sim")/SUMIFS(Avaliacoes!$I$2:$I$2000,Avaliacoes!$C$2:$C$2000,$A7,Avaliacoes!$E$2:$E$2000,"Fechamento",Avaliacoes!$J$2:$J$2000,"&gt;=0",Avaliacoes!$M$2:$M$2000,"Sim")*100,""))</f>
        <v>43.33333333</v>
      </c>
      <c r="H7" s="12">
        <f>IF($A7="","",IFERROR(SUMIFS(Calls!$F$2:$F$200,Calls!$C$2:$C$200,$A7)/COUNTIF(Calls!$C$2:$C$200,$A7),""))</f>
        <v>1</v>
      </c>
      <c r="I7" s="4" t="s">
        <v>111</v>
      </c>
      <c r="J7" s="4" t="s">
        <v>112</v>
      </c>
    </row>
    <row r="8" ht="48.0" customHeight="1">
      <c r="A8" s="4"/>
      <c r="B8" s="5" t="str">
        <f>IF($A8="","",COUNTIFS(Calls!$C$2:$C$200,$A8,Calls!$F$2:$F$200,"&gt;=0.7"))</f>
        <v/>
      </c>
      <c r="C8" s="7" t="str">
        <f>IF($A8="","",IFERROR(SUMIFS(Calls!$G$2:$G$200,Calls!$C$2:$C$200,$A8,Calls!$F$2:$F$200,"&gt;=0.7")/COUNTIFS(Calls!$C$2:$C$200,$A8,Calls!$F$2:$F$200,"&gt;=0.7"),""))</f>
        <v/>
      </c>
      <c r="D8" s="7" t="str">
        <f>IF($A8="","",IFERROR(SUMIFS(Avaliacoes!$K$2:$K$2000,Avaliacoes!$C$2:$C$2000,$A8,Avaliacoes!$E$2:$E$2000,"Abertura",Avaliacoes!$M$2:$M$2000,"Sim")/SUMIFS(Avaliacoes!$I$2:$I$2000,Avaliacoes!$C$2:$C$2000,$A8,Avaliacoes!$E$2:$E$2000,"Abertura",Avaliacoes!$J$2:$J$2000,"&gt;=0",Avaliacoes!$M$2:$M$2000,"Sim")*100,""))</f>
        <v/>
      </c>
      <c r="E8" s="7" t="str">
        <f>IF($A8="","",IFERROR(SUMIFS(Avaliacoes!$K$2:$K$2000,Avaliacoes!$C$2:$C$2000,$A8,Avaliacoes!$E$2:$E$2000,"Diagnóstico",Avaliacoes!$M$2:$M$2000,"Sim")/SUMIFS(Avaliacoes!$I$2:$I$2000,Avaliacoes!$C$2:$C$2000,$A8,Avaliacoes!$E$2:$E$2000,"Diagnóstico",Avaliacoes!$J$2:$J$2000,"&gt;=0",Avaliacoes!$M$2:$M$2000,"Sim")*100,""))</f>
        <v/>
      </c>
      <c r="F8" s="7" t="str">
        <f>IF($A8="","",IFERROR(SUMIFS(Avaliacoes!$K$2:$K$2000,Avaliacoes!$C$2:$C$2000,$A8,Avaliacoes!$E$2:$E$2000,"Demonstração",Avaliacoes!$M$2:$M$2000,"Sim")/SUMIFS(Avaliacoes!$I$2:$I$2000,Avaliacoes!$C$2:$C$2000,$A8,Avaliacoes!$E$2:$E$2000,"Demonstração",Avaliacoes!$J$2:$J$2000,"&gt;=0",Avaliacoes!$M$2:$M$2000,"Sim")*100,""))</f>
        <v/>
      </c>
      <c r="G8" s="7" t="str">
        <f>IF($A8="","",IFERROR(SUMIFS(Avaliacoes!$K$2:$K$2000,Avaliacoes!$C$2:$C$2000,$A8,Avaliacoes!$E$2:$E$2000,"Fechamento",Avaliacoes!$M$2:$M$2000,"Sim")/SUMIFS(Avaliacoes!$I$2:$I$2000,Avaliacoes!$C$2:$C$2000,$A8,Avaliacoes!$E$2:$E$2000,"Fechamento",Avaliacoes!$J$2:$J$2000,"&gt;=0",Avaliacoes!$M$2:$M$2000,"Sim")*100,""))</f>
        <v/>
      </c>
      <c r="H8" s="12" t="str">
        <f>IF($A8="","",IFERROR(SUMIFS(Calls!$F$2:$F$200,Calls!$C$2:$C$200,$A8)/COUNTIF(Calls!$C$2:$C$200,$A8),""))</f>
        <v/>
      </c>
      <c r="I8" s="4"/>
      <c r="J8" s="4"/>
    </row>
    <row r="9" ht="48.0" customHeight="1">
      <c r="A9" s="4"/>
      <c r="B9" s="5" t="str">
        <f>IF($A9="","",COUNTIFS(Calls!$C$2:$C$200,$A9,Calls!$F$2:$F$200,"&gt;=0.7"))</f>
        <v/>
      </c>
      <c r="C9" s="7" t="str">
        <f>IF($A9="","",IFERROR(SUMIFS(Calls!$G$2:$G$200,Calls!$C$2:$C$200,$A9,Calls!$F$2:$F$200,"&gt;=0.7")/COUNTIFS(Calls!$C$2:$C$200,$A9,Calls!$F$2:$F$200,"&gt;=0.7"),""))</f>
        <v/>
      </c>
      <c r="D9" s="7" t="str">
        <f>IF($A9="","",IFERROR(SUMIFS(Avaliacoes!$K$2:$K$2000,Avaliacoes!$C$2:$C$2000,$A9,Avaliacoes!$E$2:$E$2000,"Abertura",Avaliacoes!$M$2:$M$2000,"Sim")/SUMIFS(Avaliacoes!$I$2:$I$2000,Avaliacoes!$C$2:$C$2000,$A9,Avaliacoes!$E$2:$E$2000,"Abertura",Avaliacoes!$J$2:$J$2000,"&gt;=0",Avaliacoes!$M$2:$M$2000,"Sim")*100,""))</f>
        <v/>
      </c>
      <c r="E9" s="7" t="str">
        <f>IF($A9="","",IFERROR(SUMIFS(Avaliacoes!$K$2:$K$2000,Avaliacoes!$C$2:$C$2000,$A9,Avaliacoes!$E$2:$E$2000,"Diagnóstico",Avaliacoes!$M$2:$M$2000,"Sim")/SUMIFS(Avaliacoes!$I$2:$I$2000,Avaliacoes!$C$2:$C$2000,$A9,Avaliacoes!$E$2:$E$2000,"Diagnóstico",Avaliacoes!$J$2:$J$2000,"&gt;=0",Avaliacoes!$M$2:$M$2000,"Sim")*100,""))</f>
        <v/>
      </c>
      <c r="F9" s="7" t="str">
        <f>IF($A9="","",IFERROR(SUMIFS(Avaliacoes!$K$2:$K$2000,Avaliacoes!$C$2:$C$2000,$A9,Avaliacoes!$E$2:$E$2000,"Demonstração",Avaliacoes!$M$2:$M$2000,"Sim")/SUMIFS(Avaliacoes!$I$2:$I$2000,Avaliacoes!$C$2:$C$2000,$A9,Avaliacoes!$E$2:$E$2000,"Demonstração",Avaliacoes!$J$2:$J$2000,"&gt;=0",Avaliacoes!$M$2:$M$2000,"Sim")*100,""))</f>
        <v/>
      </c>
      <c r="G9" s="7" t="str">
        <f>IF($A9="","",IFERROR(SUMIFS(Avaliacoes!$K$2:$K$2000,Avaliacoes!$C$2:$C$2000,$A9,Avaliacoes!$E$2:$E$2000,"Fechamento",Avaliacoes!$M$2:$M$2000,"Sim")/SUMIFS(Avaliacoes!$I$2:$I$2000,Avaliacoes!$C$2:$C$2000,$A9,Avaliacoes!$E$2:$E$2000,"Fechamento",Avaliacoes!$J$2:$J$2000,"&gt;=0",Avaliacoes!$M$2:$M$2000,"Sim")*100,""))</f>
        <v/>
      </c>
      <c r="H9" s="12" t="str">
        <f>IF($A9="","",IFERROR(SUMIFS(Calls!$F$2:$F$200,Calls!$C$2:$C$200,$A9)/COUNTIF(Calls!$C$2:$C$200,$A9),""))</f>
        <v/>
      </c>
      <c r="I9" s="4"/>
      <c r="J9" s="4"/>
    </row>
    <row r="10" ht="48.0" customHeight="1">
      <c r="A10" s="4"/>
      <c r="B10" s="5" t="str">
        <f>IF($A10="","",COUNTIFS(Calls!$C$2:$C$200,$A10,Calls!$F$2:$F$200,"&gt;=0.7"))</f>
        <v/>
      </c>
      <c r="C10" s="7" t="str">
        <f>IF($A10="","",IFERROR(SUMIFS(Calls!$G$2:$G$200,Calls!$C$2:$C$200,$A10,Calls!$F$2:$F$200,"&gt;=0.7")/COUNTIFS(Calls!$C$2:$C$200,$A10,Calls!$F$2:$F$200,"&gt;=0.7"),""))</f>
        <v/>
      </c>
      <c r="D10" s="7" t="str">
        <f>IF($A10="","",IFERROR(SUMIFS(Avaliacoes!$K$2:$K$2000,Avaliacoes!$C$2:$C$2000,$A10,Avaliacoes!$E$2:$E$2000,"Abertura",Avaliacoes!$M$2:$M$2000,"Sim")/SUMIFS(Avaliacoes!$I$2:$I$2000,Avaliacoes!$C$2:$C$2000,$A10,Avaliacoes!$E$2:$E$2000,"Abertura",Avaliacoes!$J$2:$J$2000,"&gt;=0",Avaliacoes!$M$2:$M$2000,"Sim")*100,""))</f>
        <v/>
      </c>
      <c r="E10" s="7" t="str">
        <f>IF($A10="","",IFERROR(SUMIFS(Avaliacoes!$K$2:$K$2000,Avaliacoes!$C$2:$C$2000,$A10,Avaliacoes!$E$2:$E$2000,"Diagnóstico",Avaliacoes!$M$2:$M$2000,"Sim")/SUMIFS(Avaliacoes!$I$2:$I$2000,Avaliacoes!$C$2:$C$2000,$A10,Avaliacoes!$E$2:$E$2000,"Diagnóstico",Avaliacoes!$J$2:$J$2000,"&gt;=0",Avaliacoes!$M$2:$M$2000,"Sim")*100,""))</f>
        <v/>
      </c>
      <c r="F10" s="7" t="str">
        <f>IF($A10="","",IFERROR(SUMIFS(Avaliacoes!$K$2:$K$2000,Avaliacoes!$C$2:$C$2000,$A10,Avaliacoes!$E$2:$E$2000,"Demonstração",Avaliacoes!$M$2:$M$2000,"Sim")/SUMIFS(Avaliacoes!$I$2:$I$2000,Avaliacoes!$C$2:$C$2000,$A10,Avaliacoes!$E$2:$E$2000,"Demonstração",Avaliacoes!$J$2:$J$2000,"&gt;=0",Avaliacoes!$M$2:$M$2000,"Sim")*100,""))</f>
        <v/>
      </c>
      <c r="G10" s="7" t="str">
        <f>IF($A10="","",IFERROR(SUMIFS(Avaliacoes!$K$2:$K$2000,Avaliacoes!$C$2:$C$2000,$A10,Avaliacoes!$E$2:$E$2000,"Fechamento",Avaliacoes!$M$2:$M$2000,"Sim")/SUMIFS(Avaliacoes!$I$2:$I$2000,Avaliacoes!$C$2:$C$2000,$A10,Avaliacoes!$E$2:$E$2000,"Fechamento",Avaliacoes!$J$2:$J$2000,"&gt;=0",Avaliacoes!$M$2:$M$2000,"Sim")*100,""))</f>
        <v/>
      </c>
      <c r="H10" s="12" t="str">
        <f>IF($A10="","",IFERROR(SUMIFS(Calls!$F$2:$F$200,Calls!$C$2:$C$200,$A10)/COUNTIF(Calls!$C$2:$C$200,$A10),""))</f>
        <v/>
      </c>
      <c r="I10" s="4"/>
      <c r="J10" s="4"/>
    </row>
    <row r="11" ht="48.0" customHeight="1">
      <c r="A11" s="4"/>
      <c r="B11" s="5" t="str">
        <f>IF($A11="","",COUNTIFS(Calls!$C$2:$C$200,$A11,Calls!$F$2:$F$200,"&gt;=0.7"))</f>
        <v/>
      </c>
      <c r="C11" s="7" t="str">
        <f>IF($A11="","",IFERROR(SUMIFS(Calls!$G$2:$G$200,Calls!$C$2:$C$200,$A11,Calls!$F$2:$F$200,"&gt;=0.7")/COUNTIFS(Calls!$C$2:$C$200,$A11,Calls!$F$2:$F$200,"&gt;=0.7"),""))</f>
        <v/>
      </c>
      <c r="D11" s="7" t="str">
        <f>IF($A11="","",IFERROR(SUMIFS(Avaliacoes!$K$2:$K$2000,Avaliacoes!$C$2:$C$2000,$A11,Avaliacoes!$E$2:$E$2000,"Abertura",Avaliacoes!$M$2:$M$2000,"Sim")/SUMIFS(Avaliacoes!$I$2:$I$2000,Avaliacoes!$C$2:$C$2000,$A11,Avaliacoes!$E$2:$E$2000,"Abertura",Avaliacoes!$J$2:$J$2000,"&gt;=0",Avaliacoes!$M$2:$M$2000,"Sim")*100,""))</f>
        <v/>
      </c>
      <c r="E11" s="7" t="str">
        <f>IF($A11="","",IFERROR(SUMIFS(Avaliacoes!$K$2:$K$2000,Avaliacoes!$C$2:$C$2000,$A11,Avaliacoes!$E$2:$E$2000,"Diagnóstico",Avaliacoes!$M$2:$M$2000,"Sim")/SUMIFS(Avaliacoes!$I$2:$I$2000,Avaliacoes!$C$2:$C$2000,$A11,Avaliacoes!$E$2:$E$2000,"Diagnóstico",Avaliacoes!$J$2:$J$2000,"&gt;=0",Avaliacoes!$M$2:$M$2000,"Sim")*100,""))</f>
        <v/>
      </c>
      <c r="F11" s="7" t="str">
        <f>IF($A11="","",IFERROR(SUMIFS(Avaliacoes!$K$2:$K$2000,Avaliacoes!$C$2:$C$2000,$A11,Avaliacoes!$E$2:$E$2000,"Demonstração",Avaliacoes!$M$2:$M$2000,"Sim")/SUMIFS(Avaliacoes!$I$2:$I$2000,Avaliacoes!$C$2:$C$2000,$A11,Avaliacoes!$E$2:$E$2000,"Demonstração",Avaliacoes!$J$2:$J$2000,"&gt;=0",Avaliacoes!$M$2:$M$2000,"Sim")*100,""))</f>
        <v/>
      </c>
      <c r="G11" s="7" t="str">
        <f>IF($A11="","",IFERROR(SUMIFS(Avaliacoes!$K$2:$K$2000,Avaliacoes!$C$2:$C$2000,$A11,Avaliacoes!$E$2:$E$2000,"Fechamento",Avaliacoes!$M$2:$M$2000,"Sim")/SUMIFS(Avaliacoes!$I$2:$I$2000,Avaliacoes!$C$2:$C$2000,$A11,Avaliacoes!$E$2:$E$2000,"Fechamento",Avaliacoes!$J$2:$J$2000,"&gt;=0",Avaliacoes!$M$2:$M$2000,"Sim")*100,""))</f>
        <v/>
      </c>
      <c r="H11" s="12" t="str">
        <f>IF($A11="","",IFERROR(SUMIFS(Calls!$F$2:$F$200,Calls!$C$2:$C$200,$A11)/COUNTIF(Calls!$C$2:$C$200,$A11),""))</f>
        <v/>
      </c>
      <c r="I11" s="4"/>
      <c r="J11" s="4"/>
    </row>
    <row r="12" ht="48.0" customHeight="1">
      <c r="A12" s="4"/>
      <c r="B12" s="5" t="str">
        <f>IF($A12="","",COUNTIFS(Calls!$C$2:$C$200,$A12,Calls!$F$2:$F$200,"&gt;=0.7"))</f>
        <v/>
      </c>
      <c r="C12" s="7" t="str">
        <f>IF($A12="","",IFERROR(SUMIFS(Calls!$G$2:$G$200,Calls!$C$2:$C$200,$A12,Calls!$F$2:$F$200,"&gt;=0.7")/COUNTIFS(Calls!$C$2:$C$200,$A12,Calls!$F$2:$F$200,"&gt;=0.7"),""))</f>
        <v/>
      </c>
      <c r="D12" s="7" t="str">
        <f>IF($A12="","",IFERROR(SUMIFS(Avaliacoes!$K$2:$K$2000,Avaliacoes!$C$2:$C$2000,$A12,Avaliacoes!$E$2:$E$2000,"Abertura",Avaliacoes!$M$2:$M$2000,"Sim")/SUMIFS(Avaliacoes!$I$2:$I$2000,Avaliacoes!$C$2:$C$2000,$A12,Avaliacoes!$E$2:$E$2000,"Abertura",Avaliacoes!$J$2:$J$2000,"&gt;=0",Avaliacoes!$M$2:$M$2000,"Sim")*100,""))</f>
        <v/>
      </c>
      <c r="E12" s="7" t="str">
        <f>IF($A12="","",IFERROR(SUMIFS(Avaliacoes!$K$2:$K$2000,Avaliacoes!$C$2:$C$2000,$A12,Avaliacoes!$E$2:$E$2000,"Diagnóstico",Avaliacoes!$M$2:$M$2000,"Sim")/SUMIFS(Avaliacoes!$I$2:$I$2000,Avaliacoes!$C$2:$C$2000,$A12,Avaliacoes!$E$2:$E$2000,"Diagnóstico",Avaliacoes!$J$2:$J$2000,"&gt;=0",Avaliacoes!$M$2:$M$2000,"Sim")*100,""))</f>
        <v/>
      </c>
      <c r="F12" s="7" t="str">
        <f>IF($A12="","",IFERROR(SUMIFS(Avaliacoes!$K$2:$K$2000,Avaliacoes!$C$2:$C$2000,$A12,Avaliacoes!$E$2:$E$2000,"Demonstração",Avaliacoes!$M$2:$M$2000,"Sim")/SUMIFS(Avaliacoes!$I$2:$I$2000,Avaliacoes!$C$2:$C$2000,$A12,Avaliacoes!$E$2:$E$2000,"Demonstração",Avaliacoes!$J$2:$J$2000,"&gt;=0",Avaliacoes!$M$2:$M$2000,"Sim")*100,""))</f>
        <v/>
      </c>
      <c r="G12" s="7" t="str">
        <f>IF($A12="","",IFERROR(SUMIFS(Avaliacoes!$K$2:$K$2000,Avaliacoes!$C$2:$C$2000,$A12,Avaliacoes!$E$2:$E$2000,"Fechamento",Avaliacoes!$M$2:$M$2000,"Sim")/SUMIFS(Avaliacoes!$I$2:$I$2000,Avaliacoes!$C$2:$C$2000,$A12,Avaliacoes!$E$2:$E$2000,"Fechamento",Avaliacoes!$J$2:$J$2000,"&gt;=0",Avaliacoes!$M$2:$M$2000,"Sim")*100,""))</f>
        <v/>
      </c>
      <c r="H12" s="12" t="str">
        <f>IF($A12="","",IFERROR(SUMIFS(Calls!$F$2:$F$200,Calls!$C$2:$C$200,$A12)/COUNTIF(Calls!$C$2:$C$200,$A12),""))</f>
        <v/>
      </c>
      <c r="I12" s="4"/>
      <c r="J12" s="4"/>
    </row>
    <row r="13" ht="48.0" customHeight="1">
      <c r="A13" s="4"/>
      <c r="B13" s="5" t="str">
        <f>IF($A13="","",COUNTIFS(Calls!$C$2:$C$200,$A13,Calls!$F$2:$F$200,"&gt;=0.7"))</f>
        <v/>
      </c>
      <c r="C13" s="7" t="str">
        <f>IF($A13="","",IFERROR(SUMIFS(Calls!$G$2:$G$200,Calls!$C$2:$C$200,$A13,Calls!$F$2:$F$200,"&gt;=0.7")/COUNTIFS(Calls!$C$2:$C$200,$A13,Calls!$F$2:$F$200,"&gt;=0.7"),""))</f>
        <v/>
      </c>
      <c r="D13" s="7" t="str">
        <f>IF($A13="","",IFERROR(SUMIFS(Avaliacoes!$K$2:$K$2000,Avaliacoes!$C$2:$C$2000,$A13,Avaliacoes!$E$2:$E$2000,"Abertura",Avaliacoes!$M$2:$M$2000,"Sim")/SUMIFS(Avaliacoes!$I$2:$I$2000,Avaliacoes!$C$2:$C$2000,$A13,Avaliacoes!$E$2:$E$2000,"Abertura",Avaliacoes!$J$2:$J$2000,"&gt;=0",Avaliacoes!$M$2:$M$2000,"Sim")*100,""))</f>
        <v/>
      </c>
      <c r="E13" s="7" t="str">
        <f>IF($A13="","",IFERROR(SUMIFS(Avaliacoes!$K$2:$K$2000,Avaliacoes!$C$2:$C$2000,$A13,Avaliacoes!$E$2:$E$2000,"Diagnóstico",Avaliacoes!$M$2:$M$2000,"Sim")/SUMIFS(Avaliacoes!$I$2:$I$2000,Avaliacoes!$C$2:$C$2000,$A13,Avaliacoes!$E$2:$E$2000,"Diagnóstico",Avaliacoes!$J$2:$J$2000,"&gt;=0",Avaliacoes!$M$2:$M$2000,"Sim")*100,""))</f>
        <v/>
      </c>
      <c r="F13" s="7" t="str">
        <f>IF($A13="","",IFERROR(SUMIFS(Avaliacoes!$K$2:$K$2000,Avaliacoes!$C$2:$C$2000,$A13,Avaliacoes!$E$2:$E$2000,"Demonstração",Avaliacoes!$M$2:$M$2000,"Sim")/SUMIFS(Avaliacoes!$I$2:$I$2000,Avaliacoes!$C$2:$C$2000,$A13,Avaliacoes!$E$2:$E$2000,"Demonstração",Avaliacoes!$J$2:$J$2000,"&gt;=0",Avaliacoes!$M$2:$M$2000,"Sim")*100,""))</f>
        <v/>
      </c>
      <c r="G13" s="7" t="str">
        <f>IF($A13="","",IFERROR(SUMIFS(Avaliacoes!$K$2:$K$2000,Avaliacoes!$C$2:$C$2000,$A13,Avaliacoes!$E$2:$E$2000,"Fechamento",Avaliacoes!$M$2:$M$2000,"Sim")/SUMIFS(Avaliacoes!$I$2:$I$2000,Avaliacoes!$C$2:$C$2000,$A13,Avaliacoes!$E$2:$E$2000,"Fechamento",Avaliacoes!$J$2:$J$2000,"&gt;=0",Avaliacoes!$M$2:$M$2000,"Sim")*100,""))</f>
        <v/>
      </c>
      <c r="H13" s="12" t="str">
        <f>IF($A13="","",IFERROR(SUMIFS(Calls!$F$2:$F$200,Calls!$C$2:$C$200,$A13)/COUNTIF(Calls!$C$2:$C$200,$A13),""))</f>
        <v/>
      </c>
      <c r="I13" s="4"/>
      <c r="J13" s="4"/>
    </row>
    <row r="14" ht="48.0" customHeight="1">
      <c r="A14" s="4"/>
      <c r="B14" s="5" t="str">
        <f>IF($A14="","",COUNTIFS(Calls!$C$2:$C$200,$A14,Calls!$F$2:$F$200,"&gt;=0.7"))</f>
        <v/>
      </c>
      <c r="C14" s="7" t="str">
        <f>IF($A14="","",IFERROR(SUMIFS(Calls!$G$2:$G$200,Calls!$C$2:$C$200,$A14,Calls!$F$2:$F$200,"&gt;=0.7")/COUNTIFS(Calls!$C$2:$C$200,$A14,Calls!$F$2:$F$200,"&gt;=0.7"),""))</f>
        <v/>
      </c>
      <c r="D14" s="7" t="str">
        <f>IF($A14="","",IFERROR(SUMIFS(Avaliacoes!$K$2:$K$2000,Avaliacoes!$C$2:$C$2000,$A14,Avaliacoes!$E$2:$E$2000,"Abertura",Avaliacoes!$M$2:$M$2000,"Sim")/SUMIFS(Avaliacoes!$I$2:$I$2000,Avaliacoes!$C$2:$C$2000,$A14,Avaliacoes!$E$2:$E$2000,"Abertura",Avaliacoes!$J$2:$J$2000,"&gt;=0",Avaliacoes!$M$2:$M$2000,"Sim")*100,""))</f>
        <v/>
      </c>
      <c r="E14" s="7" t="str">
        <f>IF($A14="","",IFERROR(SUMIFS(Avaliacoes!$K$2:$K$2000,Avaliacoes!$C$2:$C$2000,$A14,Avaliacoes!$E$2:$E$2000,"Diagnóstico",Avaliacoes!$M$2:$M$2000,"Sim")/SUMIFS(Avaliacoes!$I$2:$I$2000,Avaliacoes!$C$2:$C$2000,$A14,Avaliacoes!$E$2:$E$2000,"Diagnóstico",Avaliacoes!$J$2:$J$2000,"&gt;=0",Avaliacoes!$M$2:$M$2000,"Sim")*100,""))</f>
        <v/>
      </c>
      <c r="F14" s="7" t="str">
        <f>IF($A14="","",IFERROR(SUMIFS(Avaliacoes!$K$2:$K$2000,Avaliacoes!$C$2:$C$2000,$A14,Avaliacoes!$E$2:$E$2000,"Demonstração",Avaliacoes!$M$2:$M$2000,"Sim")/SUMIFS(Avaliacoes!$I$2:$I$2000,Avaliacoes!$C$2:$C$2000,$A14,Avaliacoes!$E$2:$E$2000,"Demonstração",Avaliacoes!$J$2:$J$2000,"&gt;=0",Avaliacoes!$M$2:$M$2000,"Sim")*100,""))</f>
        <v/>
      </c>
      <c r="G14" s="7" t="str">
        <f>IF($A14="","",IFERROR(SUMIFS(Avaliacoes!$K$2:$K$2000,Avaliacoes!$C$2:$C$2000,$A14,Avaliacoes!$E$2:$E$2000,"Fechamento",Avaliacoes!$M$2:$M$2000,"Sim")/SUMIFS(Avaliacoes!$I$2:$I$2000,Avaliacoes!$C$2:$C$2000,$A14,Avaliacoes!$E$2:$E$2000,"Fechamento",Avaliacoes!$J$2:$J$2000,"&gt;=0",Avaliacoes!$M$2:$M$2000,"Sim")*100,""))</f>
        <v/>
      </c>
      <c r="H14" s="12" t="str">
        <f>IF($A14="","",IFERROR(SUMIFS(Calls!$F$2:$F$200,Calls!$C$2:$C$200,$A14)/COUNTIF(Calls!$C$2:$C$200,$A14),""))</f>
        <v/>
      </c>
      <c r="I14" s="4"/>
      <c r="J14" s="4"/>
    </row>
    <row r="15" ht="48.0" customHeight="1">
      <c r="A15" s="4"/>
      <c r="B15" s="5" t="str">
        <f>IF($A15="","",COUNTIFS(Calls!$C$2:$C$200,$A15,Calls!$F$2:$F$200,"&gt;=0.7"))</f>
        <v/>
      </c>
      <c r="C15" s="7" t="str">
        <f>IF($A15="","",IFERROR(SUMIFS(Calls!$G$2:$G$200,Calls!$C$2:$C$200,$A15,Calls!$F$2:$F$200,"&gt;=0.7")/COUNTIFS(Calls!$C$2:$C$200,$A15,Calls!$F$2:$F$200,"&gt;=0.7"),""))</f>
        <v/>
      </c>
      <c r="D15" s="7" t="str">
        <f>IF($A15="","",IFERROR(SUMIFS(Avaliacoes!$K$2:$K$2000,Avaliacoes!$C$2:$C$2000,$A15,Avaliacoes!$E$2:$E$2000,"Abertura",Avaliacoes!$M$2:$M$2000,"Sim")/SUMIFS(Avaliacoes!$I$2:$I$2000,Avaliacoes!$C$2:$C$2000,$A15,Avaliacoes!$E$2:$E$2000,"Abertura",Avaliacoes!$J$2:$J$2000,"&gt;=0",Avaliacoes!$M$2:$M$2000,"Sim")*100,""))</f>
        <v/>
      </c>
      <c r="E15" s="7" t="str">
        <f>IF($A15="","",IFERROR(SUMIFS(Avaliacoes!$K$2:$K$2000,Avaliacoes!$C$2:$C$2000,$A15,Avaliacoes!$E$2:$E$2000,"Diagnóstico",Avaliacoes!$M$2:$M$2000,"Sim")/SUMIFS(Avaliacoes!$I$2:$I$2000,Avaliacoes!$C$2:$C$2000,$A15,Avaliacoes!$E$2:$E$2000,"Diagnóstico",Avaliacoes!$J$2:$J$2000,"&gt;=0",Avaliacoes!$M$2:$M$2000,"Sim")*100,""))</f>
        <v/>
      </c>
      <c r="F15" s="7" t="str">
        <f>IF($A15="","",IFERROR(SUMIFS(Avaliacoes!$K$2:$K$2000,Avaliacoes!$C$2:$C$2000,$A15,Avaliacoes!$E$2:$E$2000,"Demonstração",Avaliacoes!$M$2:$M$2000,"Sim")/SUMIFS(Avaliacoes!$I$2:$I$2000,Avaliacoes!$C$2:$C$2000,$A15,Avaliacoes!$E$2:$E$2000,"Demonstração",Avaliacoes!$J$2:$J$2000,"&gt;=0",Avaliacoes!$M$2:$M$2000,"Sim")*100,""))</f>
        <v/>
      </c>
      <c r="G15" s="7" t="str">
        <f>IF($A15="","",IFERROR(SUMIFS(Avaliacoes!$K$2:$K$2000,Avaliacoes!$C$2:$C$2000,$A15,Avaliacoes!$E$2:$E$2000,"Fechamento",Avaliacoes!$M$2:$M$2000,"Sim")/SUMIFS(Avaliacoes!$I$2:$I$2000,Avaliacoes!$C$2:$C$2000,$A15,Avaliacoes!$E$2:$E$2000,"Fechamento",Avaliacoes!$J$2:$J$2000,"&gt;=0",Avaliacoes!$M$2:$M$2000,"Sim")*100,""))</f>
        <v/>
      </c>
      <c r="H15" s="12" t="str">
        <f>IF($A15="","",IFERROR(SUMIFS(Calls!$F$2:$F$200,Calls!$C$2:$C$200,$A15)/COUNTIF(Calls!$C$2:$C$200,$A15),""))</f>
        <v/>
      </c>
      <c r="I15" s="4"/>
      <c r="J15" s="4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2:J2"/>
    <mergeCell ref="A3:J3"/>
  </mergeCells>
  <conditionalFormatting sqref="C6:G7">
    <cfRule type="colorScale" priority="1">
      <colorScale>
        <cfvo type="min"/>
        <cfvo type="percentile" val="50"/>
        <cfvo type="max"/>
        <color rgb="FFF6CACA"/>
        <color rgb="FFFFF0A8"/>
        <color rgb="FFBFE7D2"/>
      </colorScale>
    </cfRule>
  </conditionalFormatting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09EA1"/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0"/>
    <col customWidth="1" min="2" max="2" width="22.0"/>
    <col customWidth="1" min="3" max="3" width="16.0"/>
    <col customWidth="1" min="4" max="4" width="13.0"/>
    <col customWidth="1" min="5" max="5" width="14.0"/>
    <col customWidth="1" min="6" max="7" width="12.0"/>
    <col customWidth="1" min="8" max="8" width="34.0"/>
    <col customWidth="1" min="9" max="9" width="44.0"/>
    <col customWidth="1" min="10" max="11" width="48.0"/>
    <col customWidth="1" min="12" max="12" width="52.0"/>
    <col customWidth="1" min="13" max="26" width="8.63"/>
  </cols>
  <sheetData>
    <row r="1" ht="30.0" customHeight="1">
      <c r="A1" s="6" t="s">
        <v>14</v>
      </c>
      <c r="B1" s="6" t="s">
        <v>16</v>
      </c>
      <c r="C1" s="6" t="s">
        <v>2</v>
      </c>
      <c r="D1" s="6" t="s">
        <v>22</v>
      </c>
      <c r="E1" s="6" t="s">
        <v>25</v>
      </c>
      <c r="F1" s="6" t="s">
        <v>27</v>
      </c>
      <c r="G1" s="6" t="s">
        <v>28</v>
      </c>
      <c r="H1" s="6" t="s">
        <v>32</v>
      </c>
      <c r="I1" s="6" t="s">
        <v>34</v>
      </c>
      <c r="J1" s="6" t="s">
        <v>10</v>
      </c>
      <c r="K1" s="6" t="s">
        <v>11</v>
      </c>
      <c r="L1" s="6" t="s">
        <v>40</v>
      </c>
    </row>
    <row r="2" ht="72.0" customHeight="1">
      <c r="A2" s="8" t="s">
        <v>43</v>
      </c>
      <c r="B2" s="8" t="s">
        <v>47</v>
      </c>
      <c r="C2" s="8" t="s">
        <v>12</v>
      </c>
      <c r="D2" s="9">
        <v>46259.5</v>
      </c>
      <c r="E2" s="10">
        <v>57.1</v>
      </c>
      <c r="F2" s="13">
        <f>IFERROR(SUMIFS(Avaliacoes!$I$2:$I$2000,Avaliacoes!$A$2:$A$2000,$A2,Avaliacoes!$J$2:$J$2000,"&gt;=0")/100,"")</f>
        <v>1</v>
      </c>
      <c r="G2" s="10">
        <f>IF(F2&lt;0.7,"",IFERROR(SUMIFS(Avaliacoes!$K$2:$K$2000,Avaliacoes!$A$2:$A$2000,$A2)/SUMIFS(Avaliacoes!$I$2:$I$2000,Avaliacoes!$A$2:$A$2000,$A2,Avaliacoes!$J$2:$J$2000,"&gt;=0")*100,""))</f>
        <v>50.5</v>
      </c>
      <c r="H2" s="8" t="str">
        <f t="shared" ref="H2:H8" si="1">IF(F2&lt;0.7,"Call parcial — não comparar",IF(G2&lt;60,"Call informativa — não avançou o negócio",IF(G2&lt;75,"Call frágil — valor percebido parcial",IF(G2&lt;90,"Boa call, com gaps claros","Call padrão ouro"))))</f>
        <v>Call informativa — não avançou o negócio</v>
      </c>
      <c r="I2" s="8" t="s">
        <v>97</v>
      </c>
      <c r="J2" s="8" t="s">
        <v>99</v>
      </c>
      <c r="K2" s="8" t="s">
        <v>101</v>
      </c>
      <c r="L2" s="8" t="s">
        <v>103</v>
      </c>
    </row>
    <row r="3" ht="72.0" customHeight="1">
      <c r="A3" s="8" t="s">
        <v>104</v>
      </c>
      <c r="B3" s="8" t="s">
        <v>107</v>
      </c>
      <c r="C3" s="8" t="s">
        <v>12</v>
      </c>
      <c r="D3" s="9">
        <v>46258.5</v>
      </c>
      <c r="E3" s="10">
        <v>27.6</v>
      </c>
      <c r="F3" s="13">
        <f>IFERROR(SUMIFS(Avaliacoes!$I$2:$I$2000,Avaliacoes!$A$2:$A$2000,$A3,Avaliacoes!$J$2:$J$2000,"&gt;=0")/100,"")</f>
        <v>1</v>
      </c>
      <c r="G3" s="10">
        <f>IF(F3&lt;0.7,"",IFERROR(SUMIFS(Avaliacoes!$K$2:$K$2000,Avaliacoes!$A$2:$A$2000,$A3)/SUMIFS(Avaliacoes!$I$2:$I$2000,Avaliacoes!$A$2:$A$2000,$A3,Avaliacoes!$J$2:$J$2000,"&gt;=0")*100,""))</f>
        <v>49</v>
      </c>
      <c r="H3" s="8" t="str">
        <f t="shared" si="1"/>
        <v>Call informativa — não avançou o negócio</v>
      </c>
      <c r="I3" s="8" t="s">
        <v>129</v>
      </c>
      <c r="J3" s="8" t="s">
        <v>132</v>
      </c>
      <c r="K3" s="8" t="s">
        <v>134</v>
      </c>
      <c r="L3" s="8" t="s">
        <v>137</v>
      </c>
    </row>
    <row r="4" ht="72.0" customHeight="1">
      <c r="A4" s="8" t="s">
        <v>140</v>
      </c>
      <c r="B4" s="8" t="s">
        <v>142</v>
      </c>
      <c r="C4" s="8" t="s">
        <v>12</v>
      </c>
      <c r="D4" s="9">
        <v>46255.5</v>
      </c>
      <c r="E4" s="10">
        <v>51.1</v>
      </c>
      <c r="F4" s="13">
        <f>IFERROR(SUMIFS(Avaliacoes!$I$2:$I$2000,Avaliacoes!$A$2:$A$2000,$A4,Avaliacoes!$J$2:$J$2000,"&gt;=0")/100,"")</f>
        <v>1</v>
      </c>
      <c r="G4" s="10">
        <f>IF(F4&lt;0.7,"",IFERROR(SUMIFS(Avaliacoes!$K$2:$K$2000,Avaliacoes!$A$2:$A$2000,$A4)/SUMIFS(Avaliacoes!$I$2:$I$2000,Avaliacoes!$A$2:$A$2000,$A4,Avaliacoes!$J$2:$J$2000,"&gt;=0")*100,""))</f>
        <v>48</v>
      </c>
      <c r="H4" s="8" t="str">
        <f t="shared" si="1"/>
        <v>Call informativa — não avançou o negócio</v>
      </c>
      <c r="I4" s="8" t="s">
        <v>162</v>
      </c>
      <c r="J4" s="8" t="s">
        <v>164</v>
      </c>
      <c r="K4" s="8" t="s">
        <v>166</v>
      </c>
      <c r="L4" s="8" t="s">
        <v>167</v>
      </c>
    </row>
    <row r="5" ht="72.0" customHeight="1">
      <c r="A5" s="8" t="s">
        <v>170</v>
      </c>
      <c r="B5" s="8" t="s">
        <v>172</v>
      </c>
      <c r="C5" s="8" t="s">
        <v>12</v>
      </c>
      <c r="D5" s="9">
        <v>46252.5</v>
      </c>
      <c r="E5" s="10">
        <v>9.4</v>
      </c>
      <c r="F5" s="13">
        <f>IFERROR(SUMIFS(Avaliacoes!$I$2:$I$2000,Avaliacoes!$A$2:$A$2000,$A5,Avaliacoes!$J$2:$J$2000,"&gt;=0")/100,"")</f>
        <v>0.33</v>
      </c>
      <c r="G5" s="10" t="str">
        <f>IF(F5&lt;0.7,"",IFERROR(SUMIFS(Avaliacoes!$K$2:$K$2000,Avaliacoes!$A$2:$A$2000,$A5)/SUMIFS(Avaliacoes!$I$2:$I$2000,Avaliacoes!$A$2:$A$2000,$A5,Avaliacoes!$J$2:$J$2000,"&gt;=0")*100,""))</f>
        <v/>
      </c>
      <c r="H5" s="8" t="str">
        <f t="shared" si="1"/>
        <v>Call parcial — não comparar</v>
      </c>
      <c r="I5" s="8" t="s">
        <v>188</v>
      </c>
      <c r="J5" s="8" t="s">
        <v>190</v>
      </c>
      <c r="K5" s="8" t="s">
        <v>192</v>
      </c>
      <c r="L5" s="8" t="s">
        <v>194</v>
      </c>
    </row>
    <row r="6" ht="72.0" customHeight="1">
      <c r="A6" s="8" t="s">
        <v>196</v>
      </c>
      <c r="B6" s="8" t="s">
        <v>200</v>
      </c>
      <c r="C6" s="8" t="s">
        <v>75</v>
      </c>
      <c r="D6" s="9">
        <v>46247.5</v>
      </c>
      <c r="E6" s="10">
        <v>40.2</v>
      </c>
      <c r="F6" s="13">
        <f>IFERROR(SUMIFS(Avaliacoes!$I$2:$I$2000,Avaliacoes!$A$2:$A$2000,$A6,Avaliacoes!$J$2:$J$2000,"&gt;=0")/100,"")</f>
        <v>1</v>
      </c>
      <c r="G6" s="10">
        <f>IF(F6&lt;0.7,"",IFERROR(SUMIFS(Avaliacoes!$K$2:$K$2000,Avaliacoes!$A$2:$A$2000,$A6)/SUMIFS(Avaliacoes!$I$2:$I$2000,Avaliacoes!$A$2:$A$2000,$A6,Avaliacoes!$J$2:$J$2000,"&gt;=0")*100,""))</f>
        <v>56.5</v>
      </c>
      <c r="H6" s="8" t="str">
        <f t="shared" si="1"/>
        <v>Call informativa — não avançou o negócio</v>
      </c>
      <c r="I6" s="8" t="s">
        <v>218</v>
      </c>
      <c r="J6" s="8" t="s">
        <v>220</v>
      </c>
      <c r="K6" s="8" t="s">
        <v>225</v>
      </c>
      <c r="L6" s="8" t="s">
        <v>227</v>
      </c>
    </row>
    <row r="7" ht="72.0" customHeight="1">
      <c r="A7" s="8" t="s">
        <v>230</v>
      </c>
      <c r="B7" s="8" t="s">
        <v>232</v>
      </c>
      <c r="C7" s="8" t="s">
        <v>75</v>
      </c>
      <c r="D7" s="9">
        <v>46212.5</v>
      </c>
      <c r="E7" s="10">
        <v>43.1</v>
      </c>
      <c r="F7" s="13">
        <f>IFERROR(SUMIFS(Avaliacoes!$I$2:$I$2000,Avaliacoes!$A$2:$A$2000,$A7,Avaliacoes!$J$2:$J$2000,"&gt;=0")/100,"")</f>
        <v>1</v>
      </c>
      <c r="G7" s="10">
        <f>IF(F7&lt;0.7,"",IFERROR(SUMIFS(Avaliacoes!$K$2:$K$2000,Avaliacoes!$A$2:$A$2000,$A7)/SUMIFS(Avaliacoes!$I$2:$I$2000,Avaliacoes!$A$2:$A$2000,$A7,Avaliacoes!$J$2:$J$2000,"&gt;=0")*100,""))</f>
        <v>54.5</v>
      </c>
      <c r="H7" s="8" t="str">
        <f t="shared" si="1"/>
        <v>Call informativa — não avançou o negócio</v>
      </c>
      <c r="I7" s="8" t="s">
        <v>236</v>
      </c>
      <c r="J7" s="8" t="s">
        <v>237</v>
      </c>
      <c r="K7" s="8" t="s">
        <v>238</v>
      </c>
      <c r="L7" s="8" t="s">
        <v>239</v>
      </c>
    </row>
    <row r="8" ht="72.0" customHeight="1">
      <c r="A8" s="8" t="s">
        <v>240</v>
      </c>
      <c r="B8" s="8" t="s">
        <v>241</v>
      </c>
      <c r="C8" s="8" t="s">
        <v>75</v>
      </c>
      <c r="D8" s="9">
        <v>46185.5</v>
      </c>
      <c r="E8" s="10">
        <v>46.8</v>
      </c>
      <c r="F8" s="13">
        <f>IFERROR(SUMIFS(Avaliacoes!$I$2:$I$2000,Avaliacoes!$A$2:$A$2000,$A8,Avaliacoes!$J$2:$J$2000,"&gt;=0")/100,"")</f>
        <v>1</v>
      </c>
      <c r="G8" s="10">
        <f>IF(F8&lt;0.7,"",IFERROR(SUMIFS(Avaliacoes!$K$2:$K$2000,Avaliacoes!$A$2:$A$2000,$A8)/SUMIFS(Avaliacoes!$I$2:$I$2000,Avaliacoes!$A$2:$A$2000,$A8,Avaliacoes!$J$2:$J$2000,"&gt;=0")*100,""))</f>
        <v>50</v>
      </c>
      <c r="H8" s="8" t="str">
        <f t="shared" si="1"/>
        <v>Call informativa — não avançou o negócio</v>
      </c>
      <c r="I8" s="8" t="s">
        <v>244</v>
      </c>
      <c r="J8" s="8" t="s">
        <v>245</v>
      </c>
      <c r="K8" s="8" t="s">
        <v>246</v>
      </c>
      <c r="L8" s="8" t="s">
        <v>247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ustomSheetViews>
    <customSheetView guid="{468C0006-C29C-4D02-851C-33C1EAF4BF38}" filter="1" showAutoFilter="1">
      <autoFilter ref="$A$1:$L$8"/>
      <extLst>
        <ext uri="GoogleSheetsCustomDataVersion1">
          <go:sheetsCustomData xmlns:go="http://customooxmlschemas.google.com/" filterViewId="236799339"/>
        </ext>
      </extLst>
    </customSheetView>
  </customSheetViews>
  <conditionalFormatting sqref="G2:G8">
    <cfRule type="colorScale" priority="1">
      <colorScale>
        <cfvo type="min"/>
        <cfvo type="percentile" val="50"/>
        <cfvo type="max"/>
        <color rgb="FFF6CACA"/>
        <color rgb="FFFFF0A8"/>
        <color rgb="FFBFE7D2"/>
      </colorScale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31CED5"/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0"/>
    <col customWidth="1" min="2" max="2" width="22.0"/>
    <col customWidth="1" min="3" max="3" width="16.0"/>
    <col customWidth="1" min="4" max="4" width="13.0"/>
    <col customWidth="1" min="5" max="5" width="18.0"/>
    <col customWidth="1" min="6" max="6" width="10.0"/>
    <col customWidth="1" min="7" max="7" width="44.0"/>
    <col customWidth="1" min="8" max="8" width="46.0"/>
    <col customWidth="1" min="9" max="9" width="9.0"/>
    <col customWidth="1" min="10" max="10" width="13.0"/>
    <col customWidth="1" min="11" max="11" width="18.0"/>
    <col customWidth="1" min="12" max="12" width="78.0"/>
    <col customWidth="1" min="13" max="13" width="20.0"/>
    <col customWidth="1" min="14" max="26" width="8.63"/>
  </cols>
  <sheetData>
    <row r="1" ht="30.0" customHeight="1">
      <c r="A1" s="6" t="s">
        <v>14</v>
      </c>
      <c r="B1" s="6" t="s">
        <v>16</v>
      </c>
      <c r="C1" s="6" t="s">
        <v>2</v>
      </c>
      <c r="D1" s="6" t="s">
        <v>22</v>
      </c>
      <c r="E1" s="6" t="s">
        <v>15</v>
      </c>
      <c r="F1" s="6" t="s">
        <v>26</v>
      </c>
      <c r="G1" s="6" t="s">
        <v>30</v>
      </c>
      <c r="H1" s="6" t="s">
        <v>18</v>
      </c>
      <c r="I1" s="6" t="s">
        <v>19</v>
      </c>
      <c r="J1" s="6" t="s">
        <v>38</v>
      </c>
      <c r="K1" s="6" t="s">
        <v>41</v>
      </c>
      <c r="L1" s="6" t="s">
        <v>45</v>
      </c>
      <c r="M1" s="6" t="s">
        <v>49</v>
      </c>
    </row>
    <row r="2" ht="57.75" customHeight="1">
      <c r="A2" s="8" t="s">
        <v>43</v>
      </c>
      <c r="B2" s="8" t="s">
        <v>47</v>
      </c>
      <c r="C2" s="8" t="s">
        <v>12</v>
      </c>
      <c r="D2" s="9">
        <v>46259.5</v>
      </c>
      <c r="E2" s="8" t="s">
        <v>5</v>
      </c>
      <c r="F2" s="8" t="s">
        <v>24</v>
      </c>
      <c r="G2" s="8" t="s">
        <v>29</v>
      </c>
      <c r="H2" s="8" t="s">
        <v>31</v>
      </c>
      <c r="I2" s="11">
        <v>3.0</v>
      </c>
      <c r="J2" s="11">
        <v>1.0</v>
      </c>
      <c r="K2" s="11">
        <f t="shared" ref="K2:K183" si="1">IF(ISNUMBER(J2),J2/2*I2,"")</f>
        <v>1.5</v>
      </c>
      <c r="L2" s="8" t="s">
        <v>80</v>
      </c>
      <c r="M2" s="8" t="s">
        <v>83</v>
      </c>
    </row>
    <row r="3" ht="57.75" customHeight="1">
      <c r="A3" s="8" t="s">
        <v>43</v>
      </c>
      <c r="B3" s="8" t="s">
        <v>47</v>
      </c>
      <c r="C3" s="8" t="s">
        <v>12</v>
      </c>
      <c r="D3" s="9">
        <v>46259.5</v>
      </c>
      <c r="E3" s="8" t="s">
        <v>5</v>
      </c>
      <c r="F3" s="8" t="s">
        <v>37</v>
      </c>
      <c r="G3" s="8" t="s">
        <v>39</v>
      </c>
      <c r="H3" s="8" t="s">
        <v>39</v>
      </c>
      <c r="I3" s="11">
        <v>3.0</v>
      </c>
      <c r="J3" s="11">
        <v>0.0</v>
      </c>
      <c r="K3" s="11">
        <f t="shared" si="1"/>
        <v>0</v>
      </c>
      <c r="L3" s="8" t="s">
        <v>105</v>
      </c>
      <c r="M3" s="8" t="s">
        <v>83</v>
      </c>
    </row>
    <row r="4" ht="57.75" customHeight="1">
      <c r="A4" s="8" t="s">
        <v>43</v>
      </c>
      <c r="B4" s="8" t="s">
        <v>47</v>
      </c>
      <c r="C4" s="8" t="s">
        <v>12</v>
      </c>
      <c r="D4" s="9">
        <v>46259.5</v>
      </c>
      <c r="E4" s="8" t="s">
        <v>5</v>
      </c>
      <c r="F4" s="8" t="s">
        <v>48</v>
      </c>
      <c r="G4" s="8" t="s">
        <v>50</v>
      </c>
      <c r="H4" s="8" t="s">
        <v>50</v>
      </c>
      <c r="I4" s="11">
        <v>4.0</v>
      </c>
      <c r="J4" s="11">
        <v>1.0</v>
      </c>
      <c r="K4" s="11">
        <f t="shared" si="1"/>
        <v>2</v>
      </c>
      <c r="L4" s="8" t="s">
        <v>138</v>
      </c>
      <c r="M4" s="8" t="s">
        <v>83</v>
      </c>
    </row>
    <row r="5" ht="57.75" customHeight="1">
      <c r="A5" s="8" t="s">
        <v>43</v>
      </c>
      <c r="B5" s="8" t="s">
        <v>47</v>
      </c>
      <c r="C5" s="8" t="s">
        <v>12</v>
      </c>
      <c r="D5" s="9">
        <v>46259.5</v>
      </c>
      <c r="E5" s="8" t="s">
        <v>6</v>
      </c>
      <c r="F5" s="8" t="s">
        <v>54</v>
      </c>
      <c r="G5" s="8" t="s">
        <v>55</v>
      </c>
      <c r="H5" s="8" t="s">
        <v>56</v>
      </c>
      <c r="I5" s="11">
        <v>5.0</v>
      </c>
      <c r="J5" s="11">
        <v>1.0</v>
      </c>
      <c r="K5" s="11">
        <f t="shared" si="1"/>
        <v>2.5</v>
      </c>
      <c r="L5" s="8" t="s">
        <v>161</v>
      </c>
      <c r="M5" s="8" t="s">
        <v>83</v>
      </c>
    </row>
    <row r="6" ht="57.75" customHeight="1">
      <c r="A6" s="8" t="s">
        <v>43</v>
      </c>
      <c r="B6" s="8" t="s">
        <v>47</v>
      </c>
      <c r="C6" s="8" t="s">
        <v>12</v>
      </c>
      <c r="D6" s="9">
        <v>46259.5</v>
      </c>
      <c r="E6" s="8" t="s">
        <v>6</v>
      </c>
      <c r="F6" s="8" t="s">
        <v>60</v>
      </c>
      <c r="G6" s="8" t="s">
        <v>61</v>
      </c>
      <c r="H6" s="8" t="s">
        <v>61</v>
      </c>
      <c r="I6" s="11">
        <v>5.0</v>
      </c>
      <c r="J6" s="11">
        <v>1.0</v>
      </c>
      <c r="K6" s="11">
        <f t="shared" si="1"/>
        <v>2.5</v>
      </c>
      <c r="L6" s="8" t="s">
        <v>185</v>
      </c>
      <c r="M6" s="8" t="s">
        <v>83</v>
      </c>
    </row>
    <row r="7" ht="57.75" customHeight="1">
      <c r="A7" s="8" t="s">
        <v>43</v>
      </c>
      <c r="B7" s="8" t="s">
        <v>47</v>
      </c>
      <c r="C7" s="8" t="s">
        <v>12</v>
      </c>
      <c r="D7" s="9">
        <v>46259.5</v>
      </c>
      <c r="E7" s="8" t="s">
        <v>6</v>
      </c>
      <c r="F7" s="8" t="s">
        <v>65</v>
      </c>
      <c r="G7" s="8" t="s">
        <v>66</v>
      </c>
      <c r="H7" s="8" t="s">
        <v>67</v>
      </c>
      <c r="I7" s="11">
        <v>5.0</v>
      </c>
      <c r="J7" s="11">
        <v>1.0</v>
      </c>
      <c r="K7" s="11">
        <f t="shared" si="1"/>
        <v>2.5</v>
      </c>
      <c r="L7" s="8" t="s">
        <v>209</v>
      </c>
      <c r="M7" s="8" t="s">
        <v>83</v>
      </c>
    </row>
    <row r="8" ht="57.75" customHeight="1">
      <c r="A8" s="8" t="s">
        <v>43</v>
      </c>
      <c r="B8" s="8" t="s">
        <v>47</v>
      </c>
      <c r="C8" s="8" t="s">
        <v>12</v>
      </c>
      <c r="D8" s="9">
        <v>46259.5</v>
      </c>
      <c r="E8" s="8" t="s">
        <v>6</v>
      </c>
      <c r="F8" s="8" t="s">
        <v>71</v>
      </c>
      <c r="G8" s="8" t="s">
        <v>74</v>
      </c>
      <c r="H8" s="8" t="s">
        <v>74</v>
      </c>
      <c r="I8" s="11">
        <v>4.0</v>
      </c>
      <c r="J8" s="11">
        <v>0.0</v>
      </c>
      <c r="K8" s="11">
        <f t="shared" si="1"/>
        <v>0</v>
      </c>
      <c r="L8" s="8" t="s">
        <v>219</v>
      </c>
      <c r="M8" s="8" t="s">
        <v>83</v>
      </c>
    </row>
    <row r="9" ht="57.75" customHeight="1">
      <c r="A9" s="8" t="s">
        <v>43</v>
      </c>
      <c r="B9" s="8" t="s">
        <v>47</v>
      </c>
      <c r="C9" s="8" t="s">
        <v>12</v>
      </c>
      <c r="D9" s="9">
        <v>46259.5</v>
      </c>
      <c r="E9" s="8" t="s">
        <v>6</v>
      </c>
      <c r="F9" s="8" t="s">
        <v>79</v>
      </c>
      <c r="G9" s="8" t="s">
        <v>81</v>
      </c>
      <c r="H9" s="8" t="s">
        <v>82</v>
      </c>
      <c r="I9" s="11">
        <v>4.0</v>
      </c>
      <c r="J9" s="11">
        <v>1.0</v>
      </c>
      <c r="K9" s="11">
        <f t="shared" si="1"/>
        <v>2</v>
      </c>
      <c r="L9" s="8" t="s">
        <v>234</v>
      </c>
      <c r="M9" s="8" t="s">
        <v>83</v>
      </c>
    </row>
    <row r="10" ht="57.75" customHeight="1">
      <c r="A10" s="8" t="s">
        <v>43</v>
      </c>
      <c r="B10" s="8" t="s">
        <v>47</v>
      </c>
      <c r="C10" s="8" t="s">
        <v>12</v>
      </c>
      <c r="D10" s="9">
        <v>46259.5</v>
      </c>
      <c r="E10" s="8" t="s">
        <v>6</v>
      </c>
      <c r="F10" s="8" t="s">
        <v>87</v>
      </c>
      <c r="G10" s="8" t="s">
        <v>88</v>
      </c>
      <c r="H10" s="8" t="s">
        <v>88</v>
      </c>
      <c r="I10" s="11">
        <v>5.0</v>
      </c>
      <c r="J10" s="11">
        <v>1.0</v>
      </c>
      <c r="K10" s="11">
        <f t="shared" si="1"/>
        <v>2.5</v>
      </c>
      <c r="L10" s="8" t="s">
        <v>235</v>
      </c>
      <c r="M10" s="8" t="s">
        <v>83</v>
      </c>
    </row>
    <row r="11" ht="57.75" customHeight="1">
      <c r="A11" s="8" t="s">
        <v>43</v>
      </c>
      <c r="B11" s="8" t="s">
        <v>47</v>
      </c>
      <c r="C11" s="8" t="s">
        <v>12</v>
      </c>
      <c r="D11" s="9">
        <v>46259.5</v>
      </c>
      <c r="E11" s="8" t="s">
        <v>6</v>
      </c>
      <c r="F11" s="8" t="s">
        <v>92</v>
      </c>
      <c r="G11" s="8" t="s">
        <v>93</v>
      </c>
      <c r="H11" s="8" t="s">
        <v>94</v>
      </c>
      <c r="I11" s="11">
        <v>5.0</v>
      </c>
      <c r="J11" s="11">
        <v>1.0</v>
      </c>
      <c r="K11" s="11">
        <f t="shared" si="1"/>
        <v>2.5</v>
      </c>
      <c r="L11" s="8" t="s">
        <v>242</v>
      </c>
      <c r="M11" s="8" t="s">
        <v>83</v>
      </c>
    </row>
    <row r="12" ht="57.75" customHeight="1">
      <c r="A12" s="8" t="s">
        <v>43</v>
      </c>
      <c r="B12" s="8" t="s">
        <v>47</v>
      </c>
      <c r="C12" s="8" t="s">
        <v>12</v>
      </c>
      <c r="D12" s="9">
        <v>46259.5</v>
      </c>
      <c r="E12" s="8" t="s">
        <v>6</v>
      </c>
      <c r="F12" s="8" t="s">
        <v>100</v>
      </c>
      <c r="G12" s="8" t="s">
        <v>102</v>
      </c>
      <c r="H12" s="8" t="s">
        <v>102</v>
      </c>
      <c r="I12" s="11">
        <v>7.0</v>
      </c>
      <c r="J12" s="11">
        <v>1.0</v>
      </c>
      <c r="K12" s="11">
        <f t="shared" si="1"/>
        <v>3.5</v>
      </c>
      <c r="L12" s="8" t="s">
        <v>243</v>
      </c>
      <c r="M12" s="8" t="s">
        <v>83</v>
      </c>
    </row>
    <row r="13" ht="57.75" customHeight="1">
      <c r="A13" s="8" t="s">
        <v>43</v>
      </c>
      <c r="B13" s="8" t="s">
        <v>47</v>
      </c>
      <c r="C13" s="8" t="s">
        <v>12</v>
      </c>
      <c r="D13" s="9">
        <v>46259.5</v>
      </c>
      <c r="E13" s="8" t="s">
        <v>7</v>
      </c>
      <c r="F13" s="8" t="s">
        <v>110</v>
      </c>
      <c r="G13" s="8" t="s">
        <v>113</v>
      </c>
      <c r="H13" s="8" t="s">
        <v>113</v>
      </c>
      <c r="I13" s="11">
        <v>3.0</v>
      </c>
      <c r="J13" s="11">
        <v>1.0</v>
      </c>
      <c r="K13" s="11">
        <f t="shared" si="1"/>
        <v>1.5</v>
      </c>
      <c r="L13" s="8" t="s">
        <v>243</v>
      </c>
      <c r="M13" s="8" t="s">
        <v>83</v>
      </c>
    </row>
    <row r="14" ht="57.75" customHeight="1">
      <c r="A14" s="8" t="s">
        <v>43</v>
      </c>
      <c r="B14" s="8" t="s">
        <v>47</v>
      </c>
      <c r="C14" s="8" t="s">
        <v>12</v>
      </c>
      <c r="D14" s="9">
        <v>46259.5</v>
      </c>
      <c r="E14" s="8" t="s">
        <v>7</v>
      </c>
      <c r="F14" s="8" t="s">
        <v>117</v>
      </c>
      <c r="G14" s="8" t="s">
        <v>118</v>
      </c>
      <c r="H14" s="8" t="s">
        <v>118</v>
      </c>
      <c r="I14" s="11">
        <v>2.0</v>
      </c>
      <c r="J14" s="11">
        <v>1.0</v>
      </c>
      <c r="K14" s="11">
        <f t="shared" si="1"/>
        <v>1</v>
      </c>
      <c r="L14" s="8" t="s">
        <v>248</v>
      </c>
      <c r="M14" s="8" t="s">
        <v>83</v>
      </c>
    </row>
    <row r="15" ht="57.75" customHeight="1">
      <c r="A15" s="8" t="s">
        <v>43</v>
      </c>
      <c r="B15" s="8" t="s">
        <v>47</v>
      </c>
      <c r="C15" s="8" t="s">
        <v>12</v>
      </c>
      <c r="D15" s="9">
        <v>46259.5</v>
      </c>
      <c r="E15" s="8" t="s">
        <v>7</v>
      </c>
      <c r="F15" s="8" t="s">
        <v>122</v>
      </c>
      <c r="G15" s="8" t="s">
        <v>123</v>
      </c>
      <c r="H15" s="8" t="s">
        <v>124</v>
      </c>
      <c r="I15" s="11">
        <v>4.0</v>
      </c>
      <c r="J15" s="11">
        <v>1.0</v>
      </c>
      <c r="K15" s="11">
        <f t="shared" si="1"/>
        <v>2</v>
      </c>
      <c r="L15" s="8" t="s">
        <v>249</v>
      </c>
      <c r="M15" s="8" t="s">
        <v>83</v>
      </c>
    </row>
    <row r="16" ht="57.75" customHeight="1">
      <c r="A16" s="8" t="s">
        <v>43</v>
      </c>
      <c r="B16" s="8" t="s">
        <v>47</v>
      </c>
      <c r="C16" s="8" t="s">
        <v>12</v>
      </c>
      <c r="D16" s="9">
        <v>46259.5</v>
      </c>
      <c r="E16" s="8" t="s">
        <v>7</v>
      </c>
      <c r="F16" s="8" t="s">
        <v>128</v>
      </c>
      <c r="G16" s="8" t="s">
        <v>130</v>
      </c>
      <c r="H16" s="8" t="s">
        <v>131</v>
      </c>
      <c r="I16" s="11">
        <v>4.0</v>
      </c>
      <c r="J16" s="11">
        <v>1.0</v>
      </c>
      <c r="K16" s="11">
        <f t="shared" si="1"/>
        <v>2</v>
      </c>
      <c r="L16" s="8" t="s">
        <v>250</v>
      </c>
      <c r="M16" s="8" t="s">
        <v>83</v>
      </c>
    </row>
    <row r="17" ht="57.75" customHeight="1">
      <c r="A17" s="8" t="s">
        <v>43</v>
      </c>
      <c r="B17" s="8" t="s">
        <v>47</v>
      </c>
      <c r="C17" s="8" t="s">
        <v>12</v>
      </c>
      <c r="D17" s="9">
        <v>46259.5</v>
      </c>
      <c r="E17" s="8" t="s">
        <v>7</v>
      </c>
      <c r="F17" s="8" t="s">
        <v>139</v>
      </c>
      <c r="G17" s="8" t="s">
        <v>141</v>
      </c>
      <c r="H17" s="8" t="s">
        <v>141</v>
      </c>
      <c r="I17" s="11">
        <v>3.0</v>
      </c>
      <c r="J17" s="11">
        <v>2.0</v>
      </c>
      <c r="K17" s="11">
        <f t="shared" si="1"/>
        <v>3</v>
      </c>
      <c r="L17" s="8" t="s">
        <v>251</v>
      </c>
      <c r="M17" s="8" t="s">
        <v>83</v>
      </c>
    </row>
    <row r="18" ht="57.75" customHeight="1">
      <c r="A18" s="8" t="s">
        <v>43</v>
      </c>
      <c r="B18" s="8" t="s">
        <v>47</v>
      </c>
      <c r="C18" s="8" t="s">
        <v>12</v>
      </c>
      <c r="D18" s="9">
        <v>46259.5</v>
      </c>
      <c r="E18" s="8" t="s">
        <v>7</v>
      </c>
      <c r="F18" s="8" t="s">
        <v>146</v>
      </c>
      <c r="G18" s="8" t="s">
        <v>147</v>
      </c>
      <c r="H18" s="8" t="s">
        <v>147</v>
      </c>
      <c r="I18" s="11">
        <v>3.0</v>
      </c>
      <c r="J18" s="11">
        <v>2.0</v>
      </c>
      <c r="K18" s="11">
        <f t="shared" si="1"/>
        <v>3</v>
      </c>
      <c r="L18" s="8" t="s">
        <v>252</v>
      </c>
      <c r="M18" s="8" t="s">
        <v>83</v>
      </c>
    </row>
    <row r="19" ht="57.75" customHeight="1">
      <c r="A19" s="8" t="s">
        <v>43</v>
      </c>
      <c r="B19" s="8" t="s">
        <v>47</v>
      </c>
      <c r="C19" s="8" t="s">
        <v>12</v>
      </c>
      <c r="D19" s="9">
        <v>46259.5</v>
      </c>
      <c r="E19" s="8" t="s">
        <v>7</v>
      </c>
      <c r="F19" s="8" t="s">
        <v>151</v>
      </c>
      <c r="G19" s="8" t="s">
        <v>152</v>
      </c>
      <c r="H19" s="8" t="s">
        <v>152</v>
      </c>
      <c r="I19" s="11">
        <v>2.0</v>
      </c>
      <c r="J19" s="11">
        <v>2.0</v>
      </c>
      <c r="K19" s="11">
        <f t="shared" si="1"/>
        <v>2</v>
      </c>
      <c r="L19" s="8" t="s">
        <v>253</v>
      </c>
      <c r="M19" s="8" t="s">
        <v>83</v>
      </c>
    </row>
    <row r="20" ht="57.75" customHeight="1">
      <c r="A20" s="8" t="s">
        <v>43</v>
      </c>
      <c r="B20" s="8" t="s">
        <v>47</v>
      </c>
      <c r="C20" s="8" t="s">
        <v>12</v>
      </c>
      <c r="D20" s="9">
        <v>46259.5</v>
      </c>
      <c r="E20" s="8" t="s">
        <v>7</v>
      </c>
      <c r="F20" s="8" t="s">
        <v>156</v>
      </c>
      <c r="G20" s="8" t="s">
        <v>157</v>
      </c>
      <c r="H20" s="8" t="s">
        <v>157</v>
      </c>
      <c r="I20" s="11">
        <v>5.0</v>
      </c>
      <c r="J20" s="11">
        <v>1.0</v>
      </c>
      <c r="K20" s="11">
        <f t="shared" si="1"/>
        <v>2.5</v>
      </c>
      <c r="L20" s="8" t="s">
        <v>254</v>
      </c>
      <c r="M20" s="8" t="s">
        <v>83</v>
      </c>
    </row>
    <row r="21" ht="57.75" customHeight="1">
      <c r="A21" s="8" t="s">
        <v>43</v>
      </c>
      <c r="B21" s="8" t="s">
        <v>47</v>
      </c>
      <c r="C21" s="8" t="s">
        <v>12</v>
      </c>
      <c r="D21" s="9">
        <v>46259.5</v>
      </c>
      <c r="E21" s="8" t="s">
        <v>7</v>
      </c>
      <c r="F21" s="8" t="s">
        <v>163</v>
      </c>
      <c r="G21" s="8" t="s">
        <v>165</v>
      </c>
      <c r="H21" s="8" t="s">
        <v>165</v>
      </c>
      <c r="I21" s="11">
        <v>4.0</v>
      </c>
      <c r="J21" s="11">
        <v>1.0</v>
      </c>
      <c r="K21" s="11">
        <f t="shared" si="1"/>
        <v>2</v>
      </c>
      <c r="L21" s="8" t="s">
        <v>255</v>
      </c>
      <c r="M21" s="8" t="s">
        <v>83</v>
      </c>
    </row>
    <row r="22" ht="57.75" customHeight="1">
      <c r="A22" s="8" t="s">
        <v>43</v>
      </c>
      <c r="B22" s="8" t="s">
        <v>47</v>
      </c>
      <c r="C22" s="8" t="s">
        <v>12</v>
      </c>
      <c r="D22" s="9">
        <v>46259.5</v>
      </c>
      <c r="E22" s="8" t="s">
        <v>8</v>
      </c>
      <c r="F22" s="8" t="s">
        <v>173</v>
      </c>
      <c r="G22" s="8" t="s">
        <v>174</v>
      </c>
      <c r="H22" s="8" t="s">
        <v>174</v>
      </c>
      <c r="I22" s="11">
        <v>5.0</v>
      </c>
      <c r="J22" s="11">
        <v>1.0</v>
      </c>
      <c r="K22" s="11">
        <f t="shared" si="1"/>
        <v>2.5</v>
      </c>
      <c r="L22" s="8" t="s">
        <v>256</v>
      </c>
      <c r="M22" s="8" t="s">
        <v>83</v>
      </c>
    </row>
    <row r="23" ht="57.75" customHeight="1">
      <c r="A23" s="8" t="s">
        <v>43</v>
      </c>
      <c r="B23" s="8" t="s">
        <v>47</v>
      </c>
      <c r="C23" s="8" t="s">
        <v>12</v>
      </c>
      <c r="D23" s="9">
        <v>46259.5</v>
      </c>
      <c r="E23" s="8" t="s">
        <v>8</v>
      </c>
      <c r="F23" s="8" t="s">
        <v>178</v>
      </c>
      <c r="G23" s="8" t="s">
        <v>179</v>
      </c>
      <c r="H23" s="8" t="s">
        <v>179</v>
      </c>
      <c r="I23" s="11">
        <v>3.0</v>
      </c>
      <c r="J23" s="11">
        <v>1.0</v>
      </c>
      <c r="K23" s="11">
        <f t="shared" si="1"/>
        <v>1.5</v>
      </c>
      <c r="L23" s="8" t="s">
        <v>257</v>
      </c>
      <c r="M23" s="8" t="s">
        <v>83</v>
      </c>
    </row>
    <row r="24" ht="57.75" customHeight="1">
      <c r="A24" s="8" t="s">
        <v>43</v>
      </c>
      <c r="B24" s="8" t="s">
        <v>47</v>
      </c>
      <c r="C24" s="8" t="s">
        <v>12</v>
      </c>
      <c r="D24" s="9">
        <v>46259.5</v>
      </c>
      <c r="E24" s="8" t="s">
        <v>8</v>
      </c>
      <c r="F24" s="8" t="s">
        <v>183</v>
      </c>
      <c r="G24" s="8" t="s">
        <v>184</v>
      </c>
      <c r="H24" s="8" t="s">
        <v>184</v>
      </c>
      <c r="I24" s="11">
        <v>4.0</v>
      </c>
      <c r="J24" s="11">
        <v>1.0</v>
      </c>
      <c r="K24" s="11">
        <f t="shared" si="1"/>
        <v>2</v>
      </c>
      <c r="L24" s="8" t="s">
        <v>258</v>
      </c>
      <c r="M24" s="8" t="s">
        <v>83</v>
      </c>
    </row>
    <row r="25" ht="57.75" customHeight="1">
      <c r="A25" s="8" t="s">
        <v>43</v>
      </c>
      <c r="B25" s="8" t="s">
        <v>47</v>
      </c>
      <c r="C25" s="8" t="s">
        <v>12</v>
      </c>
      <c r="D25" s="9">
        <v>46259.5</v>
      </c>
      <c r="E25" s="8" t="s">
        <v>8</v>
      </c>
      <c r="F25" s="8" t="s">
        <v>191</v>
      </c>
      <c r="G25" s="8" t="s">
        <v>193</v>
      </c>
      <c r="H25" s="8" t="s">
        <v>193</v>
      </c>
      <c r="I25" s="11">
        <v>2.0</v>
      </c>
      <c r="J25" s="11">
        <v>1.0</v>
      </c>
      <c r="K25" s="11">
        <f t="shared" si="1"/>
        <v>1</v>
      </c>
      <c r="L25" s="8" t="s">
        <v>259</v>
      </c>
      <c r="M25" s="8" t="s">
        <v>83</v>
      </c>
    </row>
    <row r="26" ht="57.75" customHeight="1">
      <c r="A26" s="8" t="s">
        <v>43</v>
      </c>
      <c r="B26" s="8" t="s">
        <v>47</v>
      </c>
      <c r="C26" s="8" t="s">
        <v>12</v>
      </c>
      <c r="D26" s="9">
        <v>46259.5</v>
      </c>
      <c r="E26" s="8" t="s">
        <v>8</v>
      </c>
      <c r="F26" s="8" t="s">
        <v>199</v>
      </c>
      <c r="G26" s="8" t="s">
        <v>201</v>
      </c>
      <c r="H26" s="8" t="s">
        <v>201</v>
      </c>
      <c r="I26" s="11">
        <v>1.0</v>
      </c>
      <c r="J26" s="11">
        <v>1.0</v>
      </c>
      <c r="K26" s="11">
        <f t="shared" si="1"/>
        <v>0.5</v>
      </c>
      <c r="L26" s="8" t="s">
        <v>260</v>
      </c>
      <c r="M26" s="8" t="s">
        <v>83</v>
      </c>
    </row>
    <row r="27" ht="57.75" customHeight="1">
      <c r="A27" s="8" t="s">
        <v>43</v>
      </c>
      <c r="B27" s="8" t="s">
        <v>47</v>
      </c>
      <c r="C27" s="8" t="s">
        <v>12</v>
      </c>
      <c r="D27" s="9">
        <v>46259.5</v>
      </c>
      <c r="E27" s="8" t="s">
        <v>8</v>
      </c>
      <c r="F27" s="8" t="s">
        <v>205</v>
      </c>
      <c r="G27" s="8" t="s">
        <v>206</v>
      </c>
      <c r="H27" s="8" t="s">
        <v>206</v>
      </c>
      <c r="I27" s="11">
        <v>5.0</v>
      </c>
      <c r="J27" s="11">
        <v>1.0</v>
      </c>
      <c r="K27" s="11">
        <f t="shared" si="1"/>
        <v>2.5</v>
      </c>
      <c r="L27" s="8" t="s">
        <v>261</v>
      </c>
      <c r="M27" s="8" t="s">
        <v>83</v>
      </c>
    </row>
    <row r="28" ht="57.75" customHeight="1">
      <c r="A28" s="8" t="s">
        <v>104</v>
      </c>
      <c r="B28" s="8" t="s">
        <v>107</v>
      </c>
      <c r="C28" s="8" t="s">
        <v>12</v>
      </c>
      <c r="D28" s="9">
        <v>46258.5</v>
      </c>
      <c r="E28" s="8" t="s">
        <v>5</v>
      </c>
      <c r="F28" s="8" t="s">
        <v>24</v>
      </c>
      <c r="G28" s="8" t="s">
        <v>29</v>
      </c>
      <c r="H28" s="8" t="s">
        <v>31</v>
      </c>
      <c r="I28" s="11">
        <v>3.0</v>
      </c>
      <c r="J28" s="11">
        <v>1.0</v>
      </c>
      <c r="K28" s="11">
        <f t="shared" si="1"/>
        <v>1.5</v>
      </c>
      <c r="L28" s="8" t="s">
        <v>262</v>
      </c>
      <c r="M28" s="8" t="s">
        <v>83</v>
      </c>
    </row>
    <row r="29" ht="57.75" customHeight="1">
      <c r="A29" s="8" t="s">
        <v>104</v>
      </c>
      <c r="B29" s="8" t="s">
        <v>107</v>
      </c>
      <c r="C29" s="8" t="s">
        <v>12</v>
      </c>
      <c r="D29" s="9">
        <v>46258.5</v>
      </c>
      <c r="E29" s="8" t="s">
        <v>5</v>
      </c>
      <c r="F29" s="8" t="s">
        <v>37</v>
      </c>
      <c r="G29" s="8" t="s">
        <v>39</v>
      </c>
      <c r="H29" s="8" t="s">
        <v>39</v>
      </c>
      <c r="I29" s="11">
        <v>3.0</v>
      </c>
      <c r="J29" s="11">
        <v>0.0</v>
      </c>
      <c r="K29" s="11">
        <f t="shared" si="1"/>
        <v>0</v>
      </c>
      <c r="L29" s="8" t="s">
        <v>105</v>
      </c>
      <c r="M29" s="8" t="s">
        <v>83</v>
      </c>
    </row>
    <row r="30" ht="57.75" customHeight="1">
      <c r="A30" s="8" t="s">
        <v>104</v>
      </c>
      <c r="B30" s="8" t="s">
        <v>107</v>
      </c>
      <c r="C30" s="8" t="s">
        <v>12</v>
      </c>
      <c r="D30" s="9">
        <v>46258.5</v>
      </c>
      <c r="E30" s="8" t="s">
        <v>5</v>
      </c>
      <c r="F30" s="8" t="s">
        <v>48</v>
      </c>
      <c r="G30" s="8" t="s">
        <v>50</v>
      </c>
      <c r="H30" s="8" t="s">
        <v>50</v>
      </c>
      <c r="I30" s="11">
        <v>4.0</v>
      </c>
      <c r="J30" s="11">
        <v>1.0</v>
      </c>
      <c r="K30" s="11">
        <f t="shared" si="1"/>
        <v>2</v>
      </c>
      <c r="L30" s="8" t="s">
        <v>138</v>
      </c>
      <c r="M30" s="8" t="s">
        <v>83</v>
      </c>
    </row>
    <row r="31" ht="57.75" customHeight="1">
      <c r="A31" s="8" t="s">
        <v>104</v>
      </c>
      <c r="B31" s="8" t="s">
        <v>107</v>
      </c>
      <c r="C31" s="8" t="s">
        <v>12</v>
      </c>
      <c r="D31" s="9">
        <v>46258.5</v>
      </c>
      <c r="E31" s="8" t="s">
        <v>6</v>
      </c>
      <c r="F31" s="8" t="s">
        <v>54</v>
      </c>
      <c r="G31" s="8" t="s">
        <v>55</v>
      </c>
      <c r="H31" s="8" t="s">
        <v>56</v>
      </c>
      <c r="I31" s="11">
        <v>5.0</v>
      </c>
      <c r="J31" s="11">
        <v>1.0</v>
      </c>
      <c r="K31" s="11">
        <f t="shared" si="1"/>
        <v>2.5</v>
      </c>
      <c r="L31" s="8" t="s">
        <v>161</v>
      </c>
      <c r="M31" s="8" t="s">
        <v>83</v>
      </c>
    </row>
    <row r="32" ht="57.75" customHeight="1">
      <c r="A32" s="8" t="s">
        <v>104</v>
      </c>
      <c r="B32" s="8" t="s">
        <v>107</v>
      </c>
      <c r="C32" s="8" t="s">
        <v>12</v>
      </c>
      <c r="D32" s="9">
        <v>46258.5</v>
      </c>
      <c r="E32" s="8" t="s">
        <v>6</v>
      </c>
      <c r="F32" s="8" t="s">
        <v>60</v>
      </c>
      <c r="G32" s="8" t="s">
        <v>61</v>
      </c>
      <c r="H32" s="8" t="s">
        <v>61</v>
      </c>
      <c r="I32" s="11">
        <v>5.0</v>
      </c>
      <c r="J32" s="11">
        <v>1.0</v>
      </c>
      <c r="K32" s="11">
        <f t="shared" si="1"/>
        <v>2.5</v>
      </c>
      <c r="L32" s="8" t="s">
        <v>263</v>
      </c>
      <c r="M32" s="8" t="s">
        <v>83</v>
      </c>
    </row>
    <row r="33" ht="57.75" customHeight="1">
      <c r="A33" s="8" t="s">
        <v>104</v>
      </c>
      <c r="B33" s="8" t="s">
        <v>107</v>
      </c>
      <c r="C33" s="8" t="s">
        <v>12</v>
      </c>
      <c r="D33" s="9">
        <v>46258.5</v>
      </c>
      <c r="E33" s="8" t="s">
        <v>6</v>
      </c>
      <c r="F33" s="8" t="s">
        <v>65</v>
      </c>
      <c r="G33" s="8" t="s">
        <v>66</v>
      </c>
      <c r="H33" s="8" t="s">
        <v>67</v>
      </c>
      <c r="I33" s="11">
        <v>5.0</v>
      </c>
      <c r="J33" s="11">
        <v>1.0</v>
      </c>
      <c r="K33" s="11">
        <f t="shared" si="1"/>
        <v>2.5</v>
      </c>
      <c r="L33" s="8" t="s">
        <v>209</v>
      </c>
      <c r="M33" s="8" t="s">
        <v>83</v>
      </c>
    </row>
    <row r="34" ht="57.75" customHeight="1">
      <c r="A34" s="8" t="s">
        <v>104</v>
      </c>
      <c r="B34" s="8" t="s">
        <v>107</v>
      </c>
      <c r="C34" s="8" t="s">
        <v>12</v>
      </c>
      <c r="D34" s="9">
        <v>46258.5</v>
      </c>
      <c r="E34" s="8" t="s">
        <v>6</v>
      </c>
      <c r="F34" s="8" t="s">
        <v>71</v>
      </c>
      <c r="G34" s="8" t="s">
        <v>74</v>
      </c>
      <c r="H34" s="8" t="s">
        <v>74</v>
      </c>
      <c r="I34" s="11">
        <v>4.0</v>
      </c>
      <c r="J34" s="11">
        <v>0.0</v>
      </c>
      <c r="K34" s="11">
        <f t="shared" si="1"/>
        <v>0</v>
      </c>
      <c r="L34" s="8" t="s">
        <v>219</v>
      </c>
      <c r="M34" s="8" t="s">
        <v>83</v>
      </c>
    </row>
    <row r="35" ht="57.75" customHeight="1">
      <c r="A35" s="8" t="s">
        <v>104</v>
      </c>
      <c r="B35" s="8" t="s">
        <v>107</v>
      </c>
      <c r="C35" s="8" t="s">
        <v>12</v>
      </c>
      <c r="D35" s="9">
        <v>46258.5</v>
      </c>
      <c r="E35" s="8" t="s">
        <v>6</v>
      </c>
      <c r="F35" s="8" t="s">
        <v>79</v>
      </c>
      <c r="G35" s="8" t="s">
        <v>81</v>
      </c>
      <c r="H35" s="8" t="s">
        <v>82</v>
      </c>
      <c r="I35" s="11">
        <v>4.0</v>
      </c>
      <c r="J35" s="11">
        <v>1.0</v>
      </c>
      <c r="K35" s="11">
        <f t="shared" si="1"/>
        <v>2</v>
      </c>
      <c r="L35" s="8" t="s">
        <v>264</v>
      </c>
      <c r="M35" s="8" t="s">
        <v>83</v>
      </c>
    </row>
    <row r="36" ht="57.75" customHeight="1">
      <c r="A36" s="8" t="s">
        <v>104</v>
      </c>
      <c r="B36" s="8" t="s">
        <v>107</v>
      </c>
      <c r="C36" s="8" t="s">
        <v>12</v>
      </c>
      <c r="D36" s="9">
        <v>46258.5</v>
      </c>
      <c r="E36" s="8" t="s">
        <v>6</v>
      </c>
      <c r="F36" s="8" t="s">
        <v>87</v>
      </c>
      <c r="G36" s="8" t="s">
        <v>88</v>
      </c>
      <c r="H36" s="8" t="s">
        <v>88</v>
      </c>
      <c r="I36" s="11">
        <v>5.0</v>
      </c>
      <c r="J36" s="11">
        <v>1.0</v>
      </c>
      <c r="K36" s="11">
        <f t="shared" si="1"/>
        <v>2.5</v>
      </c>
      <c r="L36" s="8" t="s">
        <v>265</v>
      </c>
      <c r="M36" s="8" t="s">
        <v>83</v>
      </c>
    </row>
    <row r="37" ht="57.75" customHeight="1">
      <c r="A37" s="8" t="s">
        <v>104</v>
      </c>
      <c r="B37" s="8" t="s">
        <v>107</v>
      </c>
      <c r="C37" s="8" t="s">
        <v>12</v>
      </c>
      <c r="D37" s="9">
        <v>46258.5</v>
      </c>
      <c r="E37" s="8" t="s">
        <v>6</v>
      </c>
      <c r="F37" s="8" t="s">
        <v>92</v>
      </c>
      <c r="G37" s="8" t="s">
        <v>93</v>
      </c>
      <c r="H37" s="8" t="s">
        <v>94</v>
      </c>
      <c r="I37" s="11">
        <v>5.0</v>
      </c>
      <c r="J37" s="11">
        <v>1.0</v>
      </c>
      <c r="K37" s="11">
        <f t="shared" si="1"/>
        <v>2.5</v>
      </c>
      <c r="L37" s="8" t="s">
        <v>242</v>
      </c>
      <c r="M37" s="8" t="s">
        <v>83</v>
      </c>
    </row>
    <row r="38" ht="57.75" customHeight="1">
      <c r="A38" s="8" t="s">
        <v>104</v>
      </c>
      <c r="B38" s="8" t="s">
        <v>107</v>
      </c>
      <c r="C38" s="8" t="s">
        <v>12</v>
      </c>
      <c r="D38" s="9">
        <v>46258.5</v>
      </c>
      <c r="E38" s="8" t="s">
        <v>6</v>
      </c>
      <c r="F38" s="8" t="s">
        <v>100</v>
      </c>
      <c r="G38" s="8" t="s">
        <v>102</v>
      </c>
      <c r="H38" s="8" t="s">
        <v>102</v>
      </c>
      <c r="I38" s="11">
        <v>7.0</v>
      </c>
      <c r="J38" s="11">
        <v>1.0</v>
      </c>
      <c r="K38" s="11">
        <f t="shared" si="1"/>
        <v>3.5</v>
      </c>
      <c r="L38" s="8" t="s">
        <v>243</v>
      </c>
      <c r="M38" s="8" t="s">
        <v>83</v>
      </c>
    </row>
    <row r="39" ht="57.75" customHeight="1">
      <c r="A39" s="8" t="s">
        <v>104</v>
      </c>
      <c r="B39" s="8" t="s">
        <v>107</v>
      </c>
      <c r="C39" s="8" t="s">
        <v>12</v>
      </c>
      <c r="D39" s="9">
        <v>46258.5</v>
      </c>
      <c r="E39" s="8" t="s">
        <v>7</v>
      </c>
      <c r="F39" s="8" t="s">
        <v>110</v>
      </c>
      <c r="G39" s="8" t="s">
        <v>113</v>
      </c>
      <c r="H39" s="8" t="s">
        <v>113</v>
      </c>
      <c r="I39" s="11">
        <v>3.0</v>
      </c>
      <c r="J39" s="11">
        <v>1.0</v>
      </c>
      <c r="K39" s="11">
        <f t="shared" si="1"/>
        <v>1.5</v>
      </c>
      <c r="L39" s="8" t="s">
        <v>243</v>
      </c>
      <c r="M39" s="8" t="s">
        <v>83</v>
      </c>
    </row>
    <row r="40" ht="57.75" customHeight="1">
      <c r="A40" s="8" t="s">
        <v>104</v>
      </c>
      <c r="B40" s="8" t="s">
        <v>107</v>
      </c>
      <c r="C40" s="8" t="s">
        <v>12</v>
      </c>
      <c r="D40" s="9">
        <v>46258.5</v>
      </c>
      <c r="E40" s="8" t="s">
        <v>7</v>
      </c>
      <c r="F40" s="8" t="s">
        <v>117</v>
      </c>
      <c r="G40" s="8" t="s">
        <v>118</v>
      </c>
      <c r="H40" s="8" t="s">
        <v>118</v>
      </c>
      <c r="I40" s="11">
        <v>2.0</v>
      </c>
      <c r="J40" s="11">
        <v>1.0</v>
      </c>
      <c r="K40" s="11">
        <f t="shared" si="1"/>
        <v>1</v>
      </c>
      <c r="L40" s="8" t="s">
        <v>266</v>
      </c>
      <c r="M40" s="8" t="s">
        <v>83</v>
      </c>
    </row>
    <row r="41" ht="57.75" customHeight="1">
      <c r="A41" s="8" t="s">
        <v>104</v>
      </c>
      <c r="B41" s="8" t="s">
        <v>107</v>
      </c>
      <c r="C41" s="8" t="s">
        <v>12</v>
      </c>
      <c r="D41" s="9">
        <v>46258.5</v>
      </c>
      <c r="E41" s="8" t="s">
        <v>7</v>
      </c>
      <c r="F41" s="8" t="s">
        <v>122</v>
      </c>
      <c r="G41" s="8" t="s">
        <v>123</v>
      </c>
      <c r="H41" s="8" t="s">
        <v>124</v>
      </c>
      <c r="I41" s="11">
        <v>4.0</v>
      </c>
      <c r="J41" s="11">
        <v>1.0</v>
      </c>
      <c r="K41" s="11">
        <f t="shared" si="1"/>
        <v>2</v>
      </c>
      <c r="L41" s="8" t="s">
        <v>267</v>
      </c>
      <c r="M41" s="8" t="s">
        <v>83</v>
      </c>
    </row>
    <row r="42" ht="57.75" customHeight="1">
      <c r="A42" s="8" t="s">
        <v>104</v>
      </c>
      <c r="B42" s="8" t="s">
        <v>107</v>
      </c>
      <c r="C42" s="8" t="s">
        <v>12</v>
      </c>
      <c r="D42" s="9">
        <v>46258.5</v>
      </c>
      <c r="E42" s="8" t="s">
        <v>7</v>
      </c>
      <c r="F42" s="8" t="s">
        <v>128</v>
      </c>
      <c r="G42" s="8" t="s">
        <v>130</v>
      </c>
      <c r="H42" s="8" t="s">
        <v>131</v>
      </c>
      <c r="I42" s="11">
        <v>4.0</v>
      </c>
      <c r="J42" s="11">
        <v>1.0</v>
      </c>
      <c r="K42" s="11">
        <f t="shared" si="1"/>
        <v>2</v>
      </c>
      <c r="L42" s="8" t="s">
        <v>250</v>
      </c>
      <c r="M42" s="8" t="s">
        <v>83</v>
      </c>
    </row>
    <row r="43" ht="57.75" customHeight="1">
      <c r="A43" s="8" t="s">
        <v>104</v>
      </c>
      <c r="B43" s="8" t="s">
        <v>107</v>
      </c>
      <c r="C43" s="8" t="s">
        <v>12</v>
      </c>
      <c r="D43" s="9">
        <v>46258.5</v>
      </c>
      <c r="E43" s="8" t="s">
        <v>7</v>
      </c>
      <c r="F43" s="8" t="s">
        <v>139</v>
      </c>
      <c r="G43" s="8" t="s">
        <v>141</v>
      </c>
      <c r="H43" s="8" t="s">
        <v>141</v>
      </c>
      <c r="I43" s="11">
        <v>3.0</v>
      </c>
      <c r="J43" s="11">
        <v>1.0</v>
      </c>
      <c r="K43" s="11">
        <f t="shared" si="1"/>
        <v>1.5</v>
      </c>
      <c r="L43" s="8" t="s">
        <v>268</v>
      </c>
      <c r="M43" s="8" t="s">
        <v>83</v>
      </c>
    </row>
    <row r="44" ht="57.75" customHeight="1">
      <c r="A44" s="8" t="s">
        <v>104</v>
      </c>
      <c r="B44" s="8" t="s">
        <v>107</v>
      </c>
      <c r="C44" s="8" t="s">
        <v>12</v>
      </c>
      <c r="D44" s="9">
        <v>46258.5</v>
      </c>
      <c r="E44" s="8" t="s">
        <v>7</v>
      </c>
      <c r="F44" s="8" t="s">
        <v>146</v>
      </c>
      <c r="G44" s="8" t="s">
        <v>147</v>
      </c>
      <c r="H44" s="8" t="s">
        <v>147</v>
      </c>
      <c r="I44" s="11">
        <v>3.0</v>
      </c>
      <c r="J44" s="11">
        <v>2.0</v>
      </c>
      <c r="K44" s="11">
        <f t="shared" si="1"/>
        <v>3</v>
      </c>
      <c r="L44" s="8" t="s">
        <v>252</v>
      </c>
      <c r="M44" s="8" t="s">
        <v>83</v>
      </c>
    </row>
    <row r="45" ht="57.75" customHeight="1">
      <c r="A45" s="8" t="s">
        <v>104</v>
      </c>
      <c r="B45" s="8" t="s">
        <v>107</v>
      </c>
      <c r="C45" s="8" t="s">
        <v>12</v>
      </c>
      <c r="D45" s="9">
        <v>46258.5</v>
      </c>
      <c r="E45" s="8" t="s">
        <v>7</v>
      </c>
      <c r="F45" s="8" t="s">
        <v>151</v>
      </c>
      <c r="G45" s="8" t="s">
        <v>152</v>
      </c>
      <c r="H45" s="8" t="s">
        <v>152</v>
      </c>
      <c r="I45" s="11">
        <v>2.0</v>
      </c>
      <c r="J45" s="11">
        <v>2.0</v>
      </c>
      <c r="K45" s="11">
        <f t="shared" si="1"/>
        <v>2</v>
      </c>
      <c r="L45" s="8" t="s">
        <v>253</v>
      </c>
      <c r="M45" s="8" t="s">
        <v>83</v>
      </c>
    </row>
    <row r="46" ht="57.75" customHeight="1">
      <c r="A46" s="8" t="s">
        <v>104</v>
      </c>
      <c r="B46" s="8" t="s">
        <v>107</v>
      </c>
      <c r="C46" s="8" t="s">
        <v>12</v>
      </c>
      <c r="D46" s="9">
        <v>46258.5</v>
      </c>
      <c r="E46" s="8" t="s">
        <v>7</v>
      </c>
      <c r="F46" s="8" t="s">
        <v>156</v>
      </c>
      <c r="G46" s="8" t="s">
        <v>157</v>
      </c>
      <c r="H46" s="8" t="s">
        <v>157</v>
      </c>
      <c r="I46" s="11">
        <v>5.0</v>
      </c>
      <c r="J46" s="11">
        <v>1.0</v>
      </c>
      <c r="K46" s="11">
        <f t="shared" si="1"/>
        <v>2.5</v>
      </c>
      <c r="L46" s="8" t="s">
        <v>254</v>
      </c>
      <c r="M46" s="8" t="s">
        <v>83</v>
      </c>
    </row>
    <row r="47" ht="57.75" customHeight="1">
      <c r="A47" s="8" t="s">
        <v>104</v>
      </c>
      <c r="B47" s="8" t="s">
        <v>107</v>
      </c>
      <c r="C47" s="8" t="s">
        <v>12</v>
      </c>
      <c r="D47" s="9">
        <v>46258.5</v>
      </c>
      <c r="E47" s="8" t="s">
        <v>7</v>
      </c>
      <c r="F47" s="8" t="s">
        <v>163</v>
      </c>
      <c r="G47" s="8" t="s">
        <v>165</v>
      </c>
      <c r="H47" s="8" t="s">
        <v>165</v>
      </c>
      <c r="I47" s="11">
        <v>4.0</v>
      </c>
      <c r="J47" s="11">
        <v>1.0</v>
      </c>
      <c r="K47" s="11">
        <f t="shared" si="1"/>
        <v>2</v>
      </c>
      <c r="L47" s="8" t="s">
        <v>269</v>
      </c>
      <c r="M47" s="8" t="s">
        <v>83</v>
      </c>
    </row>
    <row r="48" ht="57.75" customHeight="1">
      <c r="A48" s="8" t="s">
        <v>104</v>
      </c>
      <c r="B48" s="8" t="s">
        <v>107</v>
      </c>
      <c r="C48" s="8" t="s">
        <v>12</v>
      </c>
      <c r="D48" s="9">
        <v>46258.5</v>
      </c>
      <c r="E48" s="8" t="s">
        <v>8</v>
      </c>
      <c r="F48" s="8" t="s">
        <v>173</v>
      </c>
      <c r="G48" s="8" t="s">
        <v>174</v>
      </c>
      <c r="H48" s="8" t="s">
        <v>174</v>
      </c>
      <c r="I48" s="11">
        <v>5.0</v>
      </c>
      <c r="J48" s="11">
        <v>1.0</v>
      </c>
      <c r="K48" s="11">
        <f t="shared" si="1"/>
        <v>2.5</v>
      </c>
      <c r="L48" s="8" t="s">
        <v>270</v>
      </c>
      <c r="M48" s="8" t="s">
        <v>83</v>
      </c>
    </row>
    <row r="49" ht="57.75" customHeight="1">
      <c r="A49" s="8" t="s">
        <v>104</v>
      </c>
      <c r="B49" s="8" t="s">
        <v>107</v>
      </c>
      <c r="C49" s="8" t="s">
        <v>12</v>
      </c>
      <c r="D49" s="9">
        <v>46258.5</v>
      </c>
      <c r="E49" s="8" t="s">
        <v>8</v>
      </c>
      <c r="F49" s="8" t="s">
        <v>178</v>
      </c>
      <c r="G49" s="8" t="s">
        <v>179</v>
      </c>
      <c r="H49" s="8" t="s">
        <v>179</v>
      </c>
      <c r="I49" s="11">
        <v>3.0</v>
      </c>
      <c r="J49" s="11">
        <v>1.0</v>
      </c>
      <c r="K49" s="11">
        <f t="shared" si="1"/>
        <v>1.5</v>
      </c>
      <c r="L49" s="8" t="s">
        <v>271</v>
      </c>
      <c r="M49" s="8" t="s">
        <v>83</v>
      </c>
    </row>
    <row r="50" ht="57.75" customHeight="1">
      <c r="A50" s="8" t="s">
        <v>104</v>
      </c>
      <c r="B50" s="8" t="s">
        <v>107</v>
      </c>
      <c r="C50" s="8" t="s">
        <v>12</v>
      </c>
      <c r="D50" s="9">
        <v>46258.5</v>
      </c>
      <c r="E50" s="8" t="s">
        <v>8</v>
      </c>
      <c r="F50" s="8" t="s">
        <v>183</v>
      </c>
      <c r="G50" s="8" t="s">
        <v>184</v>
      </c>
      <c r="H50" s="8" t="s">
        <v>184</v>
      </c>
      <c r="I50" s="11">
        <v>4.0</v>
      </c>
      <c r="J50" s="11">
        <v>1.0</v>
      </c>
      <c r="K50" s="11">
        <f t="shared" si="1"/>
        <v>2</v>
      </c>
      <c r="L50" s="8" t="s">
        <v>272</v>
      </c>
      <c r="M50" s="8" t="s">
        <v>83</v>
      </c>
    </row>
    <row r="51" ht="57.75" customHeight="1">
      <c r="A51" s="8" t="s">
        <v>104</v>
      </c>
      <c r="B51" s="8" t="s">
        <v>107</v>
      </c>
      <c r="C51" s="8" t="s">
        <v>12</v>
      </c>
      <c r="D51" s="9">
        <v>46258.5</v>
      </c>
      <c r="E51" s="8" t="s">
        <v>8</v>
      </c>
      <c r="F51" s="8" t="s">
        <v>191</v>
      </c>
      <c r="G51" s="8" t="s">
        <v>193</v>
      </c>
      <c r="H51" s="8" t="s">
        <v>193</v>
      </c>
      <c r="I51" s="11">
        <v>2.0</v>
      </c>
      <c r="J51" s="11">
        <v>1.0</v>
      </c>
      <c r="K51" s="11">
        <f t="shared" si="1"/>
        <v>1</v>
      </c>
      <c r="L51" s="8" t="s">
        <v>273</v>
      </c>
      <c r="M51" s="8" t="s">
        <v>83</v>
      </c>
    </row>
    <row r="52" ht="57.75" customHeight="1">
      <c r="A52" s="8" t="s">
        <v>104</v>
      </c>
      <c r="B52" s="8" t="s">
        <v>107</v>
      </c>
      <c r="C52" s="8" t="s">
        <v>12</v>
      </c>
      <c r="D52" s="9">
        <v>46258.5</v>
      </c>
      <c r="E52" s="8" t="s">
        <v>8</v>
      </c>
      <c r="F52" s="8" t="s">
        <v>199</v>
      </c>
      <c r="G52" s="8" t="s">
        <v>201</v>
      </c>
      <c r="H52" s="8" t="s">
        <v>201</v>
      </c>
      <c r="I52" s="11">
        <v>1.0</v>
      </c>
      <c r="J52" s="11">
        <v>1.0</v>
      </c>
      <c r="K52" s="11">
        <f t="shared" si="1"/>
        <v>0.5</v>
      </c>
      <c r="L52" s="8" t="s">
        <v>260</v>
      </c>
      <c r="M52" s="8" t="s">
        <v>83</v>
      </c>
    </row>
    <row r="53" ht="57.75" customHeight="1">
      <c r="A53" s="8" t="s">
        <v>104</v>
      </c>
      <c r="B53" s="8" t="s">
        <v>107</v>
      </c>
      <c r="C53" s="8" t="s">
        <v>12</v>
      </c>
      <c r="D53" s="9">
        <v>46258.5</v>
      </c>
      <c r="E53" s="8" t="s">
        <v>8</v>
      </c>
      <c r="F53" s="8" t="s">
        <v>205</v>
      </c>
      <c r="G53" s="8" t="s">
        <v>206</v>
      </c>
      <c r="H53" s="8" t="s">
        <v>206</v>
      </c>
      <c r="I53" s="11">
        <v>5.0</v>
      </c>
      <c r="J53" s="11">
        <v>1.0</v>
      </c>
      <c r="K53" s="11">
        <f t="shared" si="1"/>
        <v>2.5</v>
      </c>
      <c r="L53" s="8" t="s">
        <v>274</v>
      </c>
      <c r="M53" s="8" t="s">
        <v>83</v>
      </c>
    </row>
    <row r="54" ht="57.75" customHeight="1">
      <c r="A54" s="8" t="s">
        <v>140</v>
      </c>
      <c r="B54" s="8" t="s">
        <v>142</v>
      </c>
      <c r="C54" s="8" t="s">
        <v>12</v>
      </c>
      <c r="D54" s="9">
        <v>46255.5</v>
      </c>
      <c r="E54" s="8" t="s">
        <v>5</v>
      </c>
      <c r="F54" s="8" t="s">
        <v>24</v>
      </c>
      <c r="G54" s="8" t="s">
        <v>29</v>
      </c>
      <c r="H54" s="8" t="s">
        <v>31</v>
      </c>
      <c r="I54" s="11">
        <v>3.0</v>
      </c>
      <c r="J54" s="11">
        <v>1.0</v>
      </c>
      <c r="K54" s="11">
        <f t="shared" si="1"/>
        <v>1.5</v>
      </c>
      <c r="L54" s="8" t="s">
        <v>275</v>
      </c>
      <c r="M54" s="8" t="s">
        <v>83</v>
      </c>
    </row>
    <row r="55" ht="57.75" customHeight="1">
      <c r="A55" s="8" t="s">
        <v>140</v>
      </c>
      <c r="B55" s="8" t="s">
        <v>142</v>
      </c>
      <c r="C55" s="8" t="s">
        <v>12</v>
      </c>
      <c r="D55" s="9">
        <v>46255.5</v>
      </c>
      <c r="E55" s="8" t="s">
        <v>5</v>
      </c>
      <c r="F55" s="8" t="s">
        <v>37</v>
      </c>
      <c r="G55" s="8" t="s">
        <v>39</v>
      </c>
      <c r="H55" s="8" t="s">
        <v>39</v>
      </c>
      <c r="I55" s="11">
        <v>3.0</v>
      </c>
      <c r="J55" s="11">
        <v>0.0</v>
      </c>
      <c r="K55" s="11">
        <f t="shared" si="1"/>
        <v>0</v>
      </c>
      <c r="L55" s="8" t="s">
        <v>105</v>
      </c>
      <c r="M55" s="8" t="s">
        <v>83</v>
      </c>
    </row>
    <row r="56" ht="57.75" customHeight="1">
      <c r="A56" s="8" t="s">
        <v>140</v>
      </c>
      <c r="B56" s="8" t="s">
        <v>142</v>
      </c>
      <c r="C56" s="8" t="s">
        <v>12</v>
      </c>
      <c r="D56" s="9">
        <v>46255.5</v>
      </c>
      <c r="E56" s="8" t="s">
        <v>5</v>
      </c>
      <c r="F56" s="8" t="s">
        <v>48</v>
      </c>
      <c r="G56" s="8" t="s">
        <v>50</v>
      </c>
      <c r="H56" s="8" t="s">
        <v>50</v>
      </c>
      <c r="I56" s="11">
        <v>4.0</v>
      </c>
      <c r="J56" s="11">
        <v>1.0</v>
      </c>
      <c r="K56" s="11">
        <f t="shared" si="1"/>
        <v>2</v>
      </c>
      <c r="L56" s="8" t="s">
        <v>276</v>
      </c>
      <c r="M56" s="8" t="s">
        <v>83</v>
      </c>
    </row>
    <row r="57" ht="57.75" customHeight="1">
      <c r="A57" s="8" t="s">
        <v>140</v>
      </c>
      <c r="B57" s="8" t="s">
        <v>142</v>
      </c>
      <c r="C57" s="8" t="s">
        <v>12</v>
      </c>
      <c r="D57" s="9">
        <v>46255.5</v>
      </c>
      <c r="E57" s="8" t="s">
        <v>6</v>
      </c>
      <c r="F57" s="8" t="s">
        <v>54</v>
      </c>
      <c r="G57" s="8" t="s">
        <v>55</v>
      </c>
      <c r="H57" s="8" t="s">
        <v>56</v>
      </c>
      <c r="I57" s="11">
        <v>5.0</v>
      </c>
      <c r="J57" s="11">
        <v>1.0</v>
      </c>
      <c r="K57" s="11">
        <f t="shared" si="1"/>
        <v>2.5</v>
      </c>
      <c r="L57" s="8" t="s">
        <v>161</v>
      </c>
      <c r="M57" s="8" t="s">
        <v>83</v>
      </c>
    </row>
    <row r="58" ht="57.75" customHeight="1">
      <c r="A58" s="8" t="s">
        <v>140</v>
      </c>
      <c r="B58" s="8" t="s">
        <v>142</v>
      </c>
      <c r="C58" s="8" t="s">
        <v>12</v>
      </c>
      <c r="D58" s="9">
        <v>46255.5</v>
      </c>
      <c r="E58" s="8" t="s">
        <v>6</v>
      </c>
      <c r="F58" s="8" t="s">
        <v>60</v>
      </c>
      <c r="G58" s="8" t="s">
        <v>61</v>
      </c>
      <c r="H58" s="8" t="s">
        <v>61</v>
      </c>
      <c r="I58" s="11">
        <v>5.0</v>
      </c>
      <c r="J58" s="11">
        <v>1.0</v>
      </c>
      <c r="K58" s="11">
        <f t="shared" si="1"/>
        <v>2.5</v>
      </c>
      <c r="L58" s="8" t="s">
        <v>277</v>
      </c>
      <c r="M58" s="8" t="s">
        <v>83</v>
      </c>
    </row>
    <row r="59" ht="57.75" customHeight="1">
      <c r="A59" s="8" t="s">
        <v>140</v>
      </c>
      <c r="B59" s="8" t="s">
        <v>142</v>
      </c>
      <c r="C59" s="8" t="s">
        <v>12</v>
      </c>
      <c r="D59" s="9">
        <v>46255.5</v>
      </c>
      <c r="E59" s="8" t="s">
        <v>6</v>
      </c>
      <c r="F59" s="8" t="s">
        <v>65</v>
      </c>
      <c r="G59" s="8" t="s">
        <v>66</v>
      </c>
      <c r="H59" s="8" t="s">
        <v>67</v>
      </c>
      <c r="I59" s="11">
        <v>5.0</v>
      </c>
      <c r="J59" s="11">
        <v>1.0</v>
      </c>
      <c r="K59" s="11">
        <f t="shared" si="1"/>
        <v>2.5</v>
      </c>
      <c r="L59" s="8" t="s">
        <v>278</v>
      </c>
      <c r="M59" s="8" t="s">
        <v>83</v>
      </c>
    </row>
    <row r="60" ht="57.75" customHeight="1">
      <c r="A60" s="8" t="s">
        <v>140</v>
      </c>
      <c r="B60" s="8" t="s">
        <v>142</v>
      </c>
      <c r="C60" s="8" t="s">
        <v>12</v>
      </c>
      <c r="D60" s="9">
        <v>46255.5</v>
      </c>
      <c r="E60" s="8" t="s">
        <v>6</v>
      </c>
      <c r="F60" s="8" t="s">
        <v>71</v>
      </c>
      <c r="G60" s="8" t="s">
        <v>74</v>
      </c>
      <c r="H60" s="8" t="s">
        <v>74</v>
      </c>
      <c r="I60" s="11">
        <v>4.0</v>
      </c>
      <c r="J60" s="11">
        <v>0.0</v>
      </c>
      <c r="K60" s="11">
        <f t="shared" si="1"/>
        <v>0</v>
      </c>
      <c r="L60" s="8" t="s">
        <v>219</v>
      </c>
      <c r="M60" s="8" t="s">
        <v>83</v>
      </c>
    </row>
    <row r="61" ht="57.75" customHeight="1">
      <c r="A61" s="8" t="s">
        <v>140</v>
      </c>
      <c r="B61" s="8" t="s">
        <v>142</v>
      </c>
      <c r="C61" s="8" t="s">
        <v>12</v>
      </c>
      <c r="D61" s="9">
        <v>46255.5</v>
      </c>
      <c r="E61" s="8" t="s">
        <v>6</v>
      </c>
      <c r="F61" s="8" t="s">
        <v>79</v>
      </c>
      <c r="G61" s="8" t="s">
        <v>81</v>
      </c>
      <c r="H61" s="8" t="s">
        <v>82</v>
      </c>
      <c r="I61" s="11">
        <v>4.0</v>
      </c>
      <c r="J61" s="11">
        <v>1.0</v>
      </c>
      <c r="K61" s="11">
        <f t="shared" si="1"/>
        <v>2</v>
      </c>
      <c r="L61" s="8" t="s">
        <v>279</v>
      </c>
      <c r="M61" s="8" t="s">
        <v>83</v>
      </c>
    </row>
    <row r="62" ht="57.75" customHeight="1">
      <c r="A62" s="8" t="s">
        <v>140</v>
      </c>
      <c r="B62" s="8" t="s">
        <v>142</v>
      </c>
      <c r="C62" s="8" t="s">
        <v>12</v>
      </c>
      <c r="D62" s="9">
        <v>46255.5</v>
      </c>
      <c r="E62" s="8" t="s">
        <v>6</v>
      </c>
      <c r="F62" s="8" t="s">
        <v>87</v>
      </c>
      <c r="G62" s="8" t="s">
        <v>88</v>
      </c>
      <c r="H62" s="8" t="s">
        <v>88</v>
      </c>
      <c r="I62" s="11">
        <v>5.0</v>
      </c>
      <c r="J62" s="11">
        <v>1.0</v>
      </c>
      <c r="K62" s="11">
        <f t="shared" si="1"/>
        <v>2.5</v>
      </c>
      <c r="L62" s="8" t="s">
        <v>280</v>
      </c>
      <c r="M62" s="8" t="s">
        <v>83</v>
      </c>
    </row>
    <row r="63" ht="57.75" customHeight="1">
      <c r="A63" s="8" t="s">
        <v>140</v>
      </c>
      <c r="B63" s="8" t="s">
        <v>142</v>
      </c>
      <c r="C63" s="8" t="s">
        <v>12</v>
      </c>
      <c r="D63" s="9">
        <v>46255.5</v>
      </c>
      <c r="E63" s="8" t="s">
        <v>6</v>
      </c>
      <c r="F63" s="8" t="s">
        <v>92</v>
      </c>
      <c r="G63" s="8" t="s">
        <v>93</v>
      </c>
      <c r="H63" s="8" t="s">
        <v>94</v>
      </c>
      <c r="I63" s="11">
        <v>5.0</v>
      </c>
      <c r="J63" s="11">
        <v>1.0</v>
      </c>
      <c r="K63" s="11">
        <f t="shared" si="1"/>
        <v>2.5</v>
      </c>
      <c r="L63" s="8" t="s">
        <v>242</v>
      </c>
      <c r="M63" s="8" t="s">
        <v>83</v>
      </c>
    </row>
    <row r="64" ht="57.75" customHeight="1">
      <c r="A64" s="8" t="s">
        <v>140</v>
      </c>
      <c r="B64" s="8" t="s">
        <v>142</v>
      </c>
      <c r="C64" s="8" t="s">
        <v>12</v>
      </c>
      <c r="D64" s="9">
        <v>46255.5</v>
      </c>
      <c r="E64" s="8" t="s">
        <v>6</v>
      </c>
      <c r="F64" s="8" t="s">
        <v>100</v>
      </c>
      <c r="G64" s="8" t="s">
        <v>102</v>
      </c>
      <c r="H64" s="8" t="s">
        <v>102</v>
      </c>
      <c r="I64" s="11">
        <v>7.0</v>
      </c>
      <c r="J64" s="11">
        <v>1.0</v>
      </c>
      <c r="K64" s="11">
        <f t="shared" si="1"/>
        <v>3.5</v>
      </c>
      <c r="L64" s="8" t="s">
        <v>243</v>
      </c>
      <c r="M64" s="8" t="s">
        <v>83</v>
      </c>
    </row>
    <row r="65" ht="57.75" customHeight="1">
      <c r="A65" s="8" t="s">
        <v>140</v>
      </c>
      <c r="B65" s="8" t="s">
        <v>142</v>
      </c>
      <c r="C65" s="8" t="s">
        <v>12</v>
      </c>
      <c r="D65" s="9">
        <v>46255.5</v>
      </c>
      <c r="E65" s="8" t="s">
        <v>7</v>
      </c>
      <c r="F65" s="8" t="s">
        <v>110</v>
      </c>
      <c r="G65" s="8" t="s">
        <v>113</v>
      </c>
      <c r="H65" s="8" t="s">
        <v>113</v>
      </c>
      <c r="I65" s="11">
        <v>3.0</v>
      </c>
      <c r="J65" s="11">
        <v>1.0</v>
      </c>
      <c r="K65" s="11">
        <f t="shared" si="1"/>
        <v>1.5</v>
      </c>
      <c r="L65" s="8" t="s">
        <v>243</v>
      </c>
      <c r="M65" s="8" t="s">
        <v>83</v>
      </c>
    </row>
    <row r="66" ht="57.75" customHeight="1">
      <c r="A66" s="8" t="s">
        <v>140</v>
      </c>
      <c r="B66" s="8" t="s">
        <v>142</v>
      </c>
      <c r="C66" s="8" t="s">
        <v>12</v>
      </c>
      <c r="D66" s="9">
        <v>46255.5</v>
      </c>
      <c r="E66" s="8" t="s">
        <v>7</v>
      </c>
      <c r="F66" s="8" t="s">
        <v>117</v>
      </c>
      <c r="G66" s="8" t="s">
        <v>118</v>
      </c>
      <c r="H66" s="8" t="s">
        <v>118</v>
      </c>
      <c r="I66" s="11">
        <v>2.0</v>
      </c>
      <c r="J66" s="11">
        <v>1.0</v>
      </c>
      <c r="K66" s="11">
        <f t="shared" si="1"/>
        <v>1</v>
      </c>
      <c r="L66" s="8" t="s">
        <v>281</v>
      </c>
      <c r="M66" s="8" t="s">
        <v>83</v>
      </c>
    </row>
    <row r="67" ht="57.75" customHeight="1">
      <c r="A67" s="8" t="s">
        <v>140</v>
      </c>
      <c r="B67" s="8" t="s">
        <v>142</v>
      </c>
      <c r="C67" s="8" t="s">
        <v>12</v>
      </c>
      <c r="D67" s="9">
        <v>46255.5</v>
      </c>
      <c r="E67" s="8" t="s">
        <v>7</v>
      </c>
      <c r="F67" s="8" t="s">
        <v>122</v>
      </c>
      <c r="G67" s="8" t="s">
        <v>123</v>
      </c>
      <c r="H67" s="8" t="s">
        <v>124</v>
      </c>
      <c r="I67" s="11">
        <v>4.0</v>
      </c>
      <c r="J67" s="11">
        <v>1.0</v>
      </c>
      <c r="K67" s="11">
        <f t="shared" si="1"/>
        <v>2</v>
      </c>
      <c r="L67" s="8" t="s">
        <v>267</v>
      </c>
      <c r="M67" s="8" t="s">
        <v>83</v>
      </c>
    </row>
    <row r="68" ht="57.75" customHeight="1">
      <c r="A68" s="8" t="s">
        <v>140</v>
      </c>
      <c r="B68" s="8" t="s">
        <v>142</v>
      </c>
      <c r="C68" s="8" t="s">
        <v>12</v>
      </c>
      <c r="D68" s="9">
        <v>46255.5</v>
      </c>
      <c r="E68" s="8" t="s">
        <v>7</v>
      </c>
      <c r="F68" s="8" t="s">
        <v>128</v>
      </c>
      <c r="G68" s="8" t="s">
        <v>130</v>
      </c>
      <c r="H68" s="8" t="s">
        <v>131</v>
      </c>
      <c r="I68" s="11">
        <v>4.0</v>
      </c>
      <c r="J68" s="11">
        <v>1.0</v>
      </c>
      <c r="K68" s="11">
        <f t="shared" si="1"/>
        <v>2</v>
      </c>
      <c r="L68" s="8" t="s">
        <v>282</v>
      </c>
      <c r="M68" s="8" t="s">
        <v>83</v>
      </c>
    </row>
    <row r="69" ht="57.75" customHeight="1">
      <c r="A69" s="8" t="s">
        <v>140</v>
      </c>
      <c r="B69" s="8" t="s">
        <v>142</v>
      </c>
      <c r="C69" s="8" t="s">
        <v>12</v>
      </c>
      <c r="D69" s="9">
        <v>46255.5</v>
      </c>
      <c r="E69" s="8" t="s">
        <v>7</v>
      </c>
      <c r="F69" s="8" t="s">
        <v>139</v>
      </c>
      <c r="G69" s="8" t="s">
        <v>141</v>
      </c>
      <c r="H69" s="8" t="s">
        <v>141</v>
      </c>
      <c r="I69" s="11">
        <v>3.0</v>
      </c>
      <c r="J69" s="11">
        <v>2.0</v>
      </c>
      <c r="K69" s="11">
        <f t="shared" si="1"/>
        <v>3</v>
      </c>
      <c r="L69" s="8" t="s">
        <v>251</v>
      </c>
      <c r="M69" s="8" t="s">
        <v>83</v>
      </c>
    </row>
    <row r="70" ht="57.75" customHeight="1">
      <c r="A70" s="8" t="s">
        <v>140</v>
      </c>
      <c r="B70" s="8" t="s">
        <v>142</v>
      </c>
      <c r="C70" s="8" t="s">
        <v>12</v>
      </c>
      <c r="D70" s="9">
        <v>46255.5</v>
      </c>
      <c r="E70" s="8" t="s">
        <v>7</v>
      </c>
      <c r="F70" s="8" t="s">
        <v>146</v>
      </c>
      <c r="G70" s="8" t="s">
        <v>147</v>
      </c>
      <c r="H70" s="8" t="s">
        <v>147</v>
      </c>
      <c r="I70" s="11">
        <v>3.0</v>
      </c>
      <c r="J70" s="11">
        <v>2.0</v>
      </c>
      <c r="K70" s="11">
        <f t="shared" si="1"/>
        <v>3</v>
      </c>
      <c r="L70" s="8" t="s">
        <v>252</v>
      </c>
      <c r="M70" s="8" t="s">
        <v>83</v>
      </c>
    </row>
    <row r="71" ht="57.75" customHeight="1">
      <c r="A71" s="8" t="s">
        <v>140</v>
      </c>
      <c r="B71" s="8" t="s">
        <v>142</v>
      </c>
      <c r="C71" s="8" t="s">
        <v>12</v>
      </c>
      <c r="D71" s="9">
        <v>46255.5</v>
      </c>
      <c r="E71" s="8" t="s">
        <v>7</v>
      </c>
      <c r="F71" s="8" t="s">
        <v>151</v>
      </c>
      <c r="G71" s="8" t="s">
        <v>152</v>
      </c>
      <c r="H71" s="8" t="s">
        <v>152</v>
      </c>
      <c r="I71" s="11">
        <v>2.0</v>
      </c>
      <c r="J71" s="11">
        <v>2.0</v>
      </c>
      <c r="K71" s="11">
        <f t="shared" si="1"/>
        <v>2</v>
      </c>
      <c r="L71" s="8" t="s">
        <v>253</v>
      </c>
      <c r="M71" s="8" t="s">
        <v>83</v>
      </c>
    </row>
    <row r="72" ht="57.75" customHeight="1">
      <c r="A72" s="8" t="s">
        <v>140</v>
      </c>
      <c r="B72" s="8" t="s">
        <v>142</v>
      </c>
      <c r="C72" s="8" t="s">
        <v>12</v>
      </c>
      <c r="D72" s="9">
        <v>46255.5</v>
      </c>
      <c r="E72" s="8" t="s">
        <v>7</v>
      </c>
      <c r="F72" s="8" t="s">
        <v>156</v>
      </c>
      <c r="G72" s="8" t="s">
        <v>157</v>
      </c>
      <c r="H72" s="8" t="s">
        <v>157</v>
      </c>
      <c r="I72" s="11">
        <v>5.0</v>
      </c>
      <c r="J72" s="11">
        <v>1.0</v>
      </c>
      <c r="K72" s="11">
        <f t="shared" si="1"/>
        <v>2.5</v>
      </c>
      <c r="L72" s="8" t="s">
        <v>283</v>
      </c>
      <c r="M72" s="8" t="s">
        <v>83</v>
      </c>
    </row>
    <row r="73" ht="57.75" customHeight="1">
      <c r="A73" s="8" t="s">
        <v>140</v>
      </c>
      <c r="B73" s="8" t="s">
        <v>142</v>
      </c>
      <c r="C73" s="8" t="s">
        <v>12</v>
      </c>
      <c r="D73" s="9">
        <v>46255.5</v>
      </c>
      <c r="E73" s="8" t="s">
        <v>7</v>
      </c>
      <c r="F73" s="8" t="s">
        <v>163</v>
      </c>
      <c r="G73" s="8" t="s">
        <v>165</v>
      </c>
      <c r="H73" s="8" t="s">
        <v>165</v>
      </c>
      <c r="I73" s="11">
        <v>4.0</v>
      </c>
      <c r="J73" s="11">
        <v>1.0</v>
      </c>
      <c r="K73" s="11">
        <f t="shared" si="1"/>
        <v>2</v>
      </c>
      <c r="L73" s="8" t="s">
        <v>284</v>
      </c>
      <c r="M73" s="8" t="s">
        <v>83</v>
      </c>
    </row>
    <row r="74" ht="57.75" customHeight="1">
      <c r="A74" s="8" t="s">
        <v>140</v>
      </c>
      <c r="B74" s="8" t="s">
        <v>142</v>
      </c>
      <c r="C74" s="8" t="s">
        <v>12</v>
      </c>
      <c r="D74" s="9">
        <v>46255.5</v>
      </c>
      <c r="E74" s="8" t="s">
        <v>8</v>
      </c>
      <c r="F74" s="8" t="s">
        <v>173</v>
      </c>
      <c r="G74" s="8" t="s">
        <v>174</v>
      </c>
      <c r="H74" s="8" t="s">
        <v>174</v>
      </c>
      <c r="I74" s="11">
        <v>5.0</v>
      </c>
      <c r="J74" s="11">
        <v>0.0</v>
      </c>
      <c r="K74" s="11">
        <f t="shared" si="1"/>
        <v>0</v>
      </c>
      <c r="L74" s="8" t="s">
        <v>285</v>
      </c>
      <c r="M74" s="8" t="s">
        <v>83</v>
      </c>
    </row>
    <row r="75" ht="57.75" customHeight="1">
      <c r="A75" s="8" t="s">
        <v>140</v>
      </c>
      <c r="B75" s="8" t="s">
        <v>142</v>
      </c>
      <c r="C75" s="8" t="s">
        <v>12</v>
      </c>
      <c r="D75" s="9">
        <v>46255.5</v>
      </c>
      <c r="E75" s="8" t="s">
        <v>8</v>
      </c>
      <c r="F75" s="8" t="s">
        <v>178</v>
      </c>
      <c r="G75" s="8" t="s">
        <v>179</v>
      </c>
      <c r="H75" s="8" t="s">
        <v>179</v>
      </c>
      <c r="I75" s="11">
        <v>3.0</v>
      </c>
      <c r="J75" s="11">
        <v>1.0</v>
      </c>
      <c r="K75" s="11">
        <f t="shared" si="1"/>
        <v>1.5</v>
      </c>
      <c r="L75" s="8" t="s">
        <v>286</v>
      </c>
      <c r="M75" s="8" t="s">
        <v>83</v>
      </c>
    </row>
    <row r="76" ht="57.75" customHeight="1">
      <c r="A76" s="8" t="s">
        <v>140</v>
      </c>
      <c r="B76" s="8" t="s">
        <v>142</v>
      </c>
      <c r="C76" s="8" t="s">
        <v>12</v>
      </c>
      <c r="D76" s="9">
        <v>46255.5</v>
      </c>
      <c r="E76" s="8" t="s">
        <v>8</v>
      </c>
      <c r="F76" s="8" t="s">
        <v>183</v>
      </c>
      <c r="G76" s="8" t="s">
        <v>184</v>
      </c>
      <c r="H76" s="8" t="s">
        <v>184</v>
      </c>
      <c r="I76" s="11">
        <v>4.0</v>
      </c>
      <c r="J76" s="11">
        <v>1.0</v>
      </c>
      <c r="K76" s="11">
        <f t="shared" si="1"/>
        <v>2</v>
      </c>
      <c r="L76" s="8" t="s">
        <v>287</v>
      </c>
      <c r="M76" s="8" t="s">
        <v>83</v>
      </c>
    </row>
    <row r="77" ht="57.75" customHeight="1">
      <c r="A77" s="8" t="s">
        <v>140</v>
      </c>
      <c r="B77" s="8" t="s">
        <v>142</v>
      </c>
      <c r="C77" s="8" t="s">
        <v>12</v>
      </c>
      <c r="D77" s="9">
        <v>46255.5</v>
      </c>
      <c r="E77" s="8" t="s">
        <v>8</v>
      </c>
      <c r="F77" s="8" t="s">
        <v>191</v>
      </c>
      <c r="G77" s="8" t="s">
        <v>193</v>
      </c>
      <c r="H77" s="8" t="s">
        <v>193</v>
      </c>
      <c r="I77" s="11">
        <v>2.0</v>
      </c>
      <c r="J77" s="11">
        <v>1.0</v>
      </c>
      <c r="K77" s="11">
        <f t="shared" si="1"/>
        <v>1</v>
      </c>
      <c r="L77" s="8" t="s">
        <v>288</v>
      </c>
      <c r="M77" s="8" t="s">
        <v>83</v>
      </c>
    </row>
    <row r="78" ht="57.75" customHeight="1">
      <c r="A78" s="8" t="s">
        <v>140</v>
      </c>
      <c r="B78" s="8" t="s">
        <v>142</v>
      </c>
      <c r="C78" s="8" t="s">
        <v>12</v>
      </c>
      <c r="D78" s="9">
        <v>46255.5</v>
      </c>
      <c r="E78" s="8" t="s">
        <v>8</v>
      </c>
      <c r="F78" s="8" t="s">
        <v>199</v>
      </c>
      <c r="G78" s="8" t="s">
        <v>201</v>
      </c>
      <c r="H78" s="8" t="s">
        <v>201</v>
      </c>
      <c r="I78" s="11">
        <v>1.0</v>
      </c>
      <c r="J78" s="11">
        <v>1.0</v>
      </c>
      <c r="K78" s="11">
        <f t="shared" si="1"/>
        <v>0.5</v>
      </c>
      <c r="L78" s="8" t="s">
        <v>289</v>
      </c>
      <c r="M78" s="8" t="s">
        <v>83</v>
      </c>
    </row>
    <row r="79" ht="57.75" customHeight="1">
      <c r="A79" s="8" t="s">
        <v>140</v>
      </c>
      <c r="B79" s="8" t="s">
        <v>142</v>
      </c>
      <c r="C79" s="8" t="s">
        <v>12</v>
      </c>
      <c r="D79" s="9">
        <v>46255.5</v>
      </c>
      <c r="E79" s="8" t="s">
        <v>8</v>
      </c>
      <c r="F79" s="8" t="s">
        <v>205</v>
      </c>
      <c r="G79" s="8" t="s">
        <v>206</v>
      </c>
      <c r="H79" s="8" t="s">
        <v>206</v>
      </c>
      <c r="I79" s="11">
        <v>5.0</v>
      </c>
      <c r="J79" s="11">
        <v>1.0</v>
      </c>
      <c r="K79" s="11">
        <f t="shared" si="1"/>
        <v>2.5</v>
      </c>
      <c r="L79" s="8" t="s">
        <v>290</v>
      </c>
      <c r="M79" s="8" t="s">
        <v>83</v>
      </c>
    </row>
    <row r="80" ht="57.75" customHeight="1">
      <c r="A80" s="8" t="s">
        <v>170</v>
      </c>
      <c r="B80" s="8" t="s">
        <v>172</v>
      </c>
      <c r="C80" s="8" t="s">
        <v>12</v>
      </c>
      <c r="D80" s="9">
        <v>46252.5</v>
      </c>
      <c r="E80" s="8" t="s">
        <v>5</v>
      </c>
      <c r="F80" s="8" t="s">
        <v>24</v>
      </c>
      <c r="G80" s="8" t="s">
        <v>29</v>
      </c>
      <c r="H80" s="8" t="s">
        <v>31</v>
      </c>
      <c r="I80" s="11">
        <v>3.0</v>
      </c>
      <c r="J80" s="11">
        <v>2.0</v>
      </c>
      <c r="K80" s="11">
        <f t="shared" si="1"/>
        <v>3</v>
      </c>
      <c r="L80" s="8" t="s">
        <v>291</v>
      </c>
      <c r="M80" s="8" t="s">
        <v>292</v>
      </c>
    </row>
    <row r="81" ht="57.75" customHeight="1">
      <c r="A81" s="8" t="s">
        <v>170</v>
      </c>
      <c r="B81" s="8" t="s">
        <v>172</v>
      </c>
      <c r="C81" s="8" t="s">
        <v>12</v>
      </c>
      <c r="D81" s="9">
        <v>46252.5</v>
      </c>
      <c r="E81" s="8" t="s">
        <v>5</v>
      </c>
      <c r="F81" s="8" t="s">
        <v>37</v>
      </c>
      <c r="G81" s="8" t="s">
        <v>39</v>
      </c>
      <c r="H81" s="8" t="s">
        <v>39</v>
      </c>
      <c r="I81" s="11">
        <v>3.0</v>
      </c>
      <c r="J81" s="11" t="s">
        <v>293</v>
      </c>
      <c r="K81" s="11" t="str">
        <f t="shared" si="1"/>
        <v/>
      </c>
      <c r="L81" s="8" t="s">
        <v>294</v>
      </c>
      <c r="M81" s="8" t="s">
        <v>292</v>
      </c>
    </row>
    <row r="82" ht="57.75" customHeight="1">
      <c r="A82" s="8" t="s">
        <v>170</v>
      </c>
      <c r="B82" s="8" t="s">
        <v>172</v>
      </c>
      <c r="C82" s="8" t="s">
        <v>12</v>
      </c>
      <c r="D82" s="9">
        <v>46252.5</v>
      </c>
      <c r="E82" s="8" t="s">
        <v>5</v>
      </c>
      <c r="F82" s="8" t="s">
        <v>48</v>
      </c>
      <c r="G82" s="8" t="s">
        <v>50</v>
      </c>
      <c r="H82" s="8" t="s">
        <v>50</v>
      </c>
      <c r="I82" s="11">
        <v>4.0</v>
      </c>
      <c r="J82" s="11">
        <v>1.0</v>
      </c>
      <c r="K82" s="11">
        <f t="shared" si="1"/>
        <v>2</v>
      </c>
      <c r="L82" s="8" t="s">
        <v>295</v>
      </c>
      <c r="M82" s="8" t="s">
        <v>292</v>
      </c>
    </row>
    <row r="83" ht="57.75" customHeight="1">
      <c r="A83" s="8" t="s">
        <v>170</v>
      </c>
      <c r="B83" s="8" t="s">
        <v>172</v>
      </c>
      <c r="C83" s="8" t="s">
        <v>12</v>
      </c>
      <c r="D83" s="9">
        <v>46252.5</v>
      </c>
      <c r="E83" s="8" t="s">
        <v>6</v>
      </c>
      <c r="F83" s="8" t="s">
        <v>54</v>
      </c>
      <c r="G83" s="8" t="s">
        <v>55</v>
      </c>
      <c r="H83" s="8" t="s">
        <v>56</v>
      </c>
      <c r="I83" s="11">
        <v>5.0</v>
      </c>
      <c r="J83" s="11">
        <v>1.0</v>
      </c>
      <c r="K83" s="11">
        <f t="shared" si="1"/>
        <v>2.5</v>
      </c>
      <c r="L83" s="8" t="s">
        <v>296</v>
      </c>
      <c r="M83" s="8" t="s">
        <v>292</v>
      </c>
    </row>
    <row r="84" ht="57.75" customHeight="1">
      <c r="A84" s="8" t="s">
        <v>170</v>
      </c>
      <c r="B84" s="8" t="s">
        <v>172</v>
      </c>
      <c r="C84" s="8" t="s">
        <v>12</v>
      </c>
      <c r="D84" s="9">
        <v>46252.5</v>
      </c>
      <c r="E84" s="8" t="s">
        <v>6</v>
      </c>
      <c r="F84" s="8" t="s">
        <v>60</v>
      </c>
      <c r="G84" s="8" t="s">
        <v>61</v>
      </c>
      <c r="H84" s="8" t="s">
        <v>61</v>
      </c>
      <c r="I84" s="11">
        <v>5.0</v>
      </c>
      <c r="J84" s="11">
        <v>1.0</v>
      </c>
      <c r="K84" s="11">
        <f t="shared" si="1"/>
        <v>2.5</v>
      </c>
      <c r="L84" s="8" t="s">
        <v>297</v>
      </c>
      <c r="M84" s="8" t="s">
        <v>292</v>
      </c>
    </row>
    <row r="85" ht="57.75" customHeight="1">
      <c r="A85" s="8" t="s">
        <v>170</v>
      </c>
      <c r="B85" s="8" t="s">
        <v>172</v>
      </c>
      <c r="C85" s="8" t="s">
        <v>12</v>
      </c>
      <c r="D85" s="9">
        <v>46252.5</v>
      </c>
      <c r="E85" s="8" t="s">
        <v>6</v>
      </c>
      <c r="F85" s="8" t="s">
        <v>65</v>
      </c>
      <c r="G85" s="8" t="s">
        <v>66</v>
      </c>
      <c r="H85" s="8" t="s">
        <v>67</v>
      </c>
      <c r="I85" s="11">
        <v>5.0</v>
      </c>
      <c r="J85" s="11">
        <v>1.0</v>
      </c>
      <c r="K85" s="11">
        <f t="shared" si="1"/>
        <v>2.5</v>
      </c>
      <c r="L85" s="8" t="s">
        <v>298</v>
      </c>
      <c r="M85" s="8" t="s">
        <v>292</v>
      </c>
    </row>
    <row r="86" ht="57.75" customHeight="1">
      <c r="A86" s="8" t="s">
        <v>170</v>
      </c>
      <c r="B86" s="8" t="s">
        <v>172</v>
      </c>
      <c r="C86" s="8" t="s">
        <v>12</v>
      </c>
      <c r="D86" s="9">
        <v>46252.5</v>
      </c>
      <c r="E86" s="8" t="s">
        <v>6</v>
      </c>
      <c r="F86" s="8" t="s">
        <v>71</v>
      </c>
      <c r="G86" s="8" t="s">
        <v>74</v>
      </c>
      <c r="H86" s="8" t="s">
        <v>74</v>
      </c>
      <c r="I86" s="11">
        <v>4.0</v>
      </c>
      <c r="J86" s="11" t="s">
        <v>293</v>
      </c>
      <c r="K86" s="11" t="str">
        <f t="shared" si="1"/>
        <v/>
      </c>
      <c r="L86" s="8" t="s">
        <v>294</v>
      </c>
      <c r="M86" s="8" t="s">
        <v>292</v>
      </c>
    </row>
    <row r="87" ht="57.75" customHeight="1">
      <c r="A87" s="8" t="s">
        <v>170</v>
      </c>
      <c r="B87" s="8" t="s">
        <v>172</v>
      </c>
      <c r="C87" s="8" t="s">
        <v>12</v>
      </c>
      <c r="D87" s="9">
        <v>46252.5</v>
      </c>
      <c r="E87" s="8" t="s">
        <v>6</v>
      </c>
      <c r="F87" s="8" t="s">
        <v>79</v>
      </c>
      <c r="G87" s="8" t="s">
        <v>81</v>
      </c>
      <c r="H87" s="8" t="s">
        <v>82</v>
      </c>
      <c r="I87" s="11">
        <v>4.0</v>
      </c>
      <c r="J87" s="11" t="s">
        <v>293</v>
      </c>
      <c r="K87" s="11" t="str">
        <f t="shared" si="1"/>
        <v/>
      </c>
      <c r="L87" s="8" t="s">
        <v>294</v>
      </c>
      <c r="M87" s="8" t="s">
        <v>292</v>
      </c>
    </row>
    <row r="88" ht="57.75" customHeight="1">
      <c r="A88" s="8" t="s">
        <v>170</v>
      </c>
      <c r="B88" s="8" t="s">
        <v>172</v>
      </c>
      <c r="C88" s="8" t="s">
        <v>12</v>
      </c>
      <c r="D88" s="9">
        <v>46252.5</v>
      </c>
      <c r="E88" s="8" t="s">
        <v>6</v>
      </c>
      <c r="F88" s="8" t="s">
        <v>87</v>
      </c>
      <c r="G88" s="8" t="s">
        <v>88</v>
      </c>
      <c r="H88" s="8" t="s">
        <v>88</v>
      </c>
      <c r="I88" s="11">
        <v>5.0</v>
      </c>
      <c r="J88" s="11" t="s">
        <v>293</v>
      </c>
      <c r="K88" s="11" t="str">
        <f t="shared" si="1"/>
        <v/>
      </c>
      <c r="L88" s="8" t="s">
        <v>294</v>
      </c>
      <c r="M88" s="8" t="s">
        <v>292</v>
      </c>
    </row>
    <row r="89" ht="57.75" customHeight="1">
      <c r="A89" s="8" t="s">
        <v>170</v>
      </c>
      <c r="B89" s="8" t="s">
        <v>172</v>
      </c>
      <c r="C89" s="8" t="s">
        <v>12</v>
      </c>
      <c r="D89" s="9">
        <v>46252.5</v>
      </c>
      <c r="E89" s="8" t="s">
        <v>6</v>
      </c>
      <c r="F89" s="8" t="s">
        <v>92</v>
      </c>
      <c r="G89" s="8" t="s">
        <v>93</v>
      </c>
      <c r="H89" s="8" t="s">
        <v>94</v>
      </c>
      <c r="I89" s="11">
        <v>5.0</v>
      </c>
      <c r="J89" s="11" t="s">
        <v>293</v>
      </c>
      <c r="K89" s="11" t="str">
        <f t="shared" si="1"/>
        <v/>
      </c>
      <c r="L89" s="8" t="s">
        <v>294</v>
      </c>
      <c r="M89" s="8" t="s">
        <v>292</v>
      </c>
    </row>
    <row r="90" ht="57.75" customHeight="1">
      <c r="A90" s="8" t="s">
        <v>170</v>
      </c>
      <c r="B90" s="8" t="s">
        <v>172</v>
      </c>
      <c r="C90" s="8" t="s">
        <v>12</v>
      </c>
      <c r="D90" s="9">
        <v>46252.5</v>
      </c>
      <c r="E90" s="8" t="s">
        <v>6</v>
      </c>
      <c r="F90" s="8" t="s">
        <v>100</v>
      </c>
      <c r="G90" s="8" t="s">
        <v>102</v>
      </c>
      <c r="H90" s="8" t="s">
        <v>102</v>
      </c>
      <c r="I90" s="11">
        <v>7.0</v>
      </c>
      <c r="J90" s="11" t="s">
        <v>293</v>
      </c>
      <c r="K90" s="11" t="str">
        <f t="shared" si="1"/>
        <v/>
      </c>
      <c r="L90" s="8" t="s">
        <v>294</v>
      </c>
      <c r="M90" s="8" t="s">
        <v>292</v>
      </c>
    </row>
    <row r="91" ht="57.75" customHeight="1">
      <c r="A91" s="8" t="s">
        <v>170</v>
      </c>
      <c r="B91" s="8" t="s">
        <v>172</v>
      </c>
      <c r="C91" s="8" t="s">
        <v>12</v>
      </c>
      <c r="D91" s="9">
        <v>46252.5</v>
      </c>
      <c r="E91" s="8" t="s">
        <v>7</v>
      </c>
      <c r="F91" s="8" t="s">
        <v>110</v>
      </c>
      <c r="G91" s="8" t="s">
        <v>113</v>
      </c>
      <c r="H91" s="8" t="s">
        <v>113</v>
      </c>
      <c r="I91" s="11">
        <v>3.0</v>
      </c>
      <c r="J91" s="11" t="s">
        <v>293</v>
      </c>
      <c r="K91" s="11" t="str">
        <f t="shared" si="1"/>
        <v/>
      </c>
      <c r="L91" s="8" t="s">
        <v>294</v>
      </c>
      <c r="M91" s="8" t="s">
        <v>292</v>
      </c>
    </row>
    <row r="92" ht="57.75" customHeight="1">
      <c r="A92" s="8" t="s">
        <v>170</v>
      </c>
      <c r="B92" s="8" t="s">
        <v>172</v>
      </c>
      <c r="C92" s="8" t="s">
        <v>12</v>
      </c>
      <c r="D92" s="9">
        <v>46252.5</v>
      </c>
      <c r="E92" s="8" t="s">
        <v>7</v>
      </c>
      <c r="F92" s="8" t="s">
        <v>117</v>
      </c>
      <c r="G92" s="8" t="s">
        <v>118</v>
      </c>
      <c r="H92" s="8" t="s">
        <v>118</v>
      </c>
      <c r="I92" s="11">
        <v>2.0</v>
      </c>
      <c r="J92" s="11">
        <v>1.0</v>
      </c>
      <c r="K92" s="11">
        <f t="shared" si="1"/>
        <v>1</v>
      </c>
      <c r="L92" s="8" t="s">
        <v>299</v>
      </c>
      <c r="M92" s="8" t="s">
        <v>292</v>
      </c>
    </row>
    <row r="93" ht="57.75" customHeight="1">
      <c r="A93" s="8" t="s">
        <v>170</v>
      </c>
      <c r="B93" s="8" t="s">
        <v>172</v>
      </c>
      <c r="C93" s="8" t="s">
        <v>12</v>
      </c>
      <c r="D93" s="9">
        <v>46252.5</v>
      </c>
      <c r="E93" s="8" t="s">
        <v>7</v>
      </c>
      <c r="F93" s="8" t="s">
        <v>122</v>
      </c>
      <c r="G93" s="8" t="s">
        <v>123</v>
      </c>
      <c r="H93" s="8" t="s">
        <v>124</v>
      </c>
      <c r="I93" s="11">
        <v>4.0</v>
      </c>
      <c r="J93" s="11">
        <v>1.0</v>
      </c>
      <c r="K93" s="11">
        <f t="shared" si="1"/>
        <v>2</v>
      </c>
      <c r="L93" s="8" t="s">
        <v>300</v>
      </c>
      <c r="M93" s="8" t="s">
        <v>292</v>
      </c>
    </row>
    <row r="94" ht="57.75" customHeight="1">
      <c r="A94" s="8" t="s">
        <v>170</v>
      </c>
      <c r="B94" s="8" t="s">
        <v>172</v>
      </c>
      <c r="C94" s="8" t="s">
        <v>12</v>
      </c>
      <c r="D94" s="9">
        <v>46252.5</v>
      </c>
      <c r="E94" s="8" t="s">
        <v>7</v>
      </c>
      <c r="F94" s="8" t="s">
        <v>128</v>
      </c>
      <c r="G94" s="8" t="s">
        <v>130</v>
      </c>
      <c r="H94" s="8" t="s">
        <v>131</v>
      </c>
      <c r="I94" s="11">
        <v>4.0</v>
      </c>
      <c r="J94" s="11">
        <v>1.0</v>
      </c>
      <c r="K94" s="11">
        <f t="shared" si="1"/>
        <v>2</v>
      </c>
      <c r="L94" s="8" t="s">
        <v>301</v>
      </c>
      <c r="M94" s="8" t="s">
        <v>292</v>
      </c>
    </row>
    <row r="95" ht="57.75" customHeight="1">
      <c r="A95" s="8" t="s">
        <v>170</v>
      </c>
      <c r="B95" s="8" t="s">
        <v>172</v>
      </c>
      <c r="C95" s="8" t="s">
        <v>12</v>
      </c>
      <c r="D95" s="9">
        <v>46252.5</v>
      </c>
      <c r="E95" s="8" t="s">
        <v>7</v>
      </c>
      <c r="F95" s="8" t="s">
        <v>139</v>
      </c>
      <c r="G95" s="8" t="s">
        <v>141</v>
      </c>
      <c r="H95" s="8" t="s">
        <v>141</v>
      </c>
      <c r="I95" s="11">
        <v>3.0</v>
      </c>
      <c r="J95" s="11" t="s">
        <v>293</v>
      </c>
      <c r="K95" s="11" t="str">
        <f t="shared" si="1"/>
        <v/>
      </c>
      <c r="L95" s="8" t="s">
        <v>294</v>
      </c>
      <c r="M95" s="8" t="s">
        <v>292</v>
      </c>
    </row>
    <row r="96" ht="57.75" customHeight="1">
      <c r="A96" s="8" t="s">
        <v>170</v>
      </c>
      <c r="B96" s="8" t="s">
        <v>172</v>
      </c>
      <c r="C96" s="8" t="s">
        <v>12</v>
      </c>
      <c r="D96" s="9">
        <v>46252.5</v>
      </c>
      <c r="E96" s="8" t="s">
        <v>7</v>
      </c>
      <c r="F96" s="8" t="s">
        <v>146</v>
      </c>
      <c r="G96" s="8" t="s">
        <v>147</v>
      </c>
      <c r="H96" s="8" t="s">
        <v>147</v>
      </c>
      <c r="I96" s="11">
        <v>3.0</v>
      </c>
      <c r="J96" s="11" t="s">
        <v>293</v>
      </c>
      <c r="K96" s="11" t="str">
        <f t="shared" si="1"/>
        <v/>
      </c>
      <c r="L96" s="8" t="s">
        <v>294</v>
      </c>
      <c r="M96" s="8" t="s">
        <v>292</v>
      </c>
    </row>
    <row r="97" ht="57.75" customHeight="1">
      <c r="A97" s="8" t="s">
        <v>170</v>
      </c>
      <c r="B97" s="8" t="s">
        <v>172</v>
      </c>
      <c r="C97" s="8" t="s">
        <v>12</v>
      </c>
      <c r="D97" s="9">
        <v>46252.5</v>
      </c>
      <c r="E97" s="8" t="s">
        <v>7</v>
      </c>
      <c r="F97" s="8" t="s">
        <v>151</v>
      </c>
      <c r="G97" s="8" t="s">
        <v>152</v>
      </c>
      <c r="H97" s="8" t="s">
        <v>152</v>
      </c>
      <c r="I97" s="11">
        <v>2.0</v>
      </c>
      <c r="J97" s="11" t="s">
        <v>293</v>
      </c>
      <c r="K97" s="11" t="str">
        <f t="shared" si="1"/>
        <v/>
      </c>
      <c r="L97" s="8" t="s">
        <v>294</v>
      </c>
      <c r="M97" s="8" t="s">
        <v>292</v>
      </c>
    </row>
    <row r="98" ht="57.75" customHeight="1">
      <c r="A98" s="8" t="s">
        <v>170</v>
      </c>
      <c r="B98" s="8" t="s">
        <v>172</v>
      </c>
      <c r="C98" s="8" t="s">
        <v>12</v>
      </c>
      <c r="D98" s="9">
        <v>46252.5</v>
      </c>
      <c r="E98" s="8" t="s">
        <v>7</v>
      </c>
      <c r="F98" s="8" t="s">
        <v>156</v>
      </c>
      <c r="G98" s="8" t="s">
        <v>157</v>
      </c>
      <c r="H98" s="8" t="s">
        <v>157</v>
      </c>
      <c r="I98" s="11">
        <v>5.0</v>
      </c>
      <c r="J98" s="11" t="s">
        <v>293</v>
      </c>
      <c r="K98" s="11" t="str">
        <f t="shared" si="1"/>
        <v/>
      </c>
      <c r="L98" s="8" t="s">
        <v>294</v>
      </c>
      <c r="M98" s="8" t="s">
        <v>292</v>
      </c>
    </row>
    <row r="99" ht="57.75" customHeight="1">
      <c r="A99" s="8" t="s">
        <v>170</v>
      </c>
      <c r="B99" s="8" t="s">
        <v>172</v>
      </c>
      <c r="C99" s="8" t="s">
        <v>12</v>
      </c>
      <c r="D99" s="9">
        <v>46252.5</v>
      </c>
      <c r="E99" s="8" t="s">
        <v>7</v>
      </c>
      <c r="F99" s="8" t="s">
        <v>163</v>
      </c>
      <c r="G99" s="8" t="s">
        <v>165</v>
      </c>
      <c r="H99" s="8" t="s">
        <v>165</v>
      </c>
      <c r="I99" s="11">
        <v>4.0</v>
      </c>
      <c r="J99" s="11" t="s">
        <v>293</v>
      </c>
      <c r="K99" s="11" t="str">
        <f t="shared" si="1"/>
        <v/>
      </c>
      <c r="L99" s="8" t="s">
        <v>294</v>
      </c>
      <c r="M99" s="8" t="s">
        <v>292</v>
      </c>
    </row>
    <row r="100" ht="57.75" customHeight="1">
      <c r="A100" s="8" t="s">
        <v>170</v>
      </c>
      <c r="B100" s="8" t="s">
        <v>172</v>
      </c>
      <c r="C100" s="8" t="s">
        <v>12</v>
      </c>
      <c r="D100" s="9">
        <v>46252.5</v>
      </c>
      <c r="E100" s="8" t="s">
        <v>8</v>
      </c>
      <c r="F100" s="8" t="s">
        <v>173</v>
      </c>
      <c r="G100" s="8" t="s">
        <v>174</v>
      </c>
      <c r="H100" s="8" t="s">
        <v>174</v>
      </c>
      <c r="I100" s="11">
        <v>5.0</v>
      </c>
      <c r="J100" s="11" t="s">
        <v>293</v>
      </c>
      <c r="K100" s="11" t="str">
        <f t="shared" si="1"/>
        <v/>
      </c>
      <c r="L100" s="8" t="s">
        <v>294</v>
      </c>
      <c r="M100" s="8" t="s">
        <v>292</v>
      </c>
    </row>
    <row r="101" ht="57.75" customHeight="1">
      <c r="A101" s="8" t="s">
        <v>170</v>
      </c>
      <c r="B101" s="8" t="s">
        <v>172</v>
      </c>
      <c r="C101" s="8" t="s">
        <v>12</v>
      </c>
      <c r="D101" s="9">
        <v>46252.5</v>
      </c>
      <c r="E101" s="8" t="s">
        <v>8</v>
      </c>
      <c r="F101" s="8" t="s">
        <v>178</v>
      </c>
      <c r="G101" s="8" t="s">
        <v>179</v>
      </c>
      <c r="H101" s="8" t="s">
        <v>179</v>
      </c>
      <c r="I101" s="11">
        <v>3.0</v>
      </c>
      <c r="J101" s="11" t="s">
        <v>293</v>
      </c>
      <c r="K101" s="11" t="str">
        <f t="shared" si="1"/>
        <v/>
      </c>
      <c r="L101" s="8" t="s">
        <v>294</v>
      </c>
      <c r="M101" s="8" t="s">
        <v>292</v>
      </c>
    </row>
    <row r="102" ht="57.75" customHeight="1">
      <c r="A102" s="8" t="s">
        <v>170</v>
      </c>
      <c r="B102" s="8" t="s">
        <v>172</v>
      </c>
      <c r="C102" s="8" t="s">
        <v>12</v>
      </c>
      <c r="D102" s="9">
        <v>46252.5</v>
      </c>
      <c r="E102" s="8" t="s">
        <v>8</v>
      </c>
      <c r="F102" s="8" t="s">
        <v>183</v>
      </c>
      <c r="G102" s="8" t="s">
        <v>184</v>
      </c>
      <c r="H102" s="8" t="s">
        <v>184</v>
      </c>
      <c r="I102" s="11">
        <v>4.0</v>
      </c>
      <c r="J102" s="11" t="s">
        <v>293</v>
      </c>
      <c r="K102" s="11" t="str">
        <f t="shared" si="1"/>
        <v/>
      </c>
      <c r="L102" s="8" t="s">
        <v>294</v>
      </c>
      <c r="M102" s="8" t="s">
        <v>292</v>
      </c>
    </row>
    <row r="103" ht="57.75" customHeight="1">
      <c r="A103" s="8" t="s">
        <v>170</v>
      </c>
      <c r="B103" s="8" t="s">
        <v>172</v>
      </c>
      <c r="C103" s="8" t="s">
        <v>12</v>
      </c>
      <c r="D103" s="9">
        <v>46252.5</v>
      </c>
      <c r="E103" s="8" t="s">
        <v>8</v>
      </c>
      <c r="F103" s="8" t="s">
        <v>191</v>
      </c>
      <c r="G103" s="8" t="s">
        <v>193</v>
      </c>
      <c r="H103" s="8" t="s">
        <v>193</v>
      </c>
      <c r="I103" s="11">
        <v>2.0</v>
      </c>
      <c r="J103" s="11" t="s">
        <v>293</v>
      </c>
      <c r="K103" s="11" t="str">
        <f t="shared" si="1"/>
        <v/>
      </c>
      <c r="L103" s="8" t="s">
        <v>294</v>
      </c>
      <c r="M103" s="8" t="s">
        <v>292</v>
      </c>
    </row>
    <row r="104" ht="57.75" customHeight="1">
      <c r="A104" s="8" t="s">
        <v>170</v>
      </c>
      <c r="B104" s="8" t="s">
        <v>172</v>
      </c>
      <c r="C104" s="8" t="s">
        <v>12</v>
      </c>
      <c r="D104" s="9">
        <v>46252.5</v>
      </c>
      <c r="E104" s="8" t="s">
        <v>8</v>
      </c>
      <c r="F104" s="8" t="s">
        <v>199</v>
      </c>
      <c r="G104" s="8" t="s">
        <v>201</v>
      </c>
      <c r="H104" s="8" t="s">
        <v>201</v>
      </c>
      <c r="I104" s="11">
        <v>1.0</v>
      </c>
      <c r="J104" s="11">
        <v>1.0</v>
      </c>
      <c r="K104" s="11">
        <f t="shared" si="1"/>
        <v>0.5</v>
      </c>
      <c r="L104" s="8" t="s">
        <v>301</v>
      </c>
      <c r="M104" s="8" t="s">
        <v>292</v>
      </c>
    </row>
    <row r="105" ht="57.75" customHeight="1">
      <c r="A105" s="8" t="s">
        <v>170</v>
      </c>
      <c r="B105" s="8" t="s">
        <v>172</v>
      </c>
      <c r="C105" s="8" t="s">
        <v>12</v>
      </c>
      <c r="D105" s="9">
        <v>46252.5</v>
      </c>
      <c r="E105" s="8" t="s">
        <v>8</v>
      </c>
      <c r="F105" s="8" t="s">
        <v>205</v>
      </c>
      <c r="G105" s="8" t="s">
        <v>206</v>
      </c>
      <c r="H105" s="8" t="s">
        <v>206</v>
      </c>
      <c r="I105" s="11">
        <v>5.0</v>
      </c>
      <c r="J105" s="11" t="s">
        <v>293</v>
      </c>
      <c r="K105" s="11" t="str">
        <f t="shared" si="1"/>
        <v/>
      </c>
      <c r="L105" s="8" t="s">
        <v>294</v>
      </c>
      <c r="M105" s="8" t="s">
        <v>292</v>
      </c>
    </row>
    <row r="106" ht="57.75" customHeight="1">
      <c r="A106" s="8" t="s">
        <v>196</v>
      </c>
      <c r="B106" s="8" t="s">
        <v>200</v>
      </c>
      <c r="C106" s="8" t="s">
        <v>75</v>
      </c>
      <c r="D106" s="9">
        <v>46247.5</v>
      </c>
      <c r="E106" s="8" t="s">
        <v>5</v>
      </c>
      <c r="F106" s="8" t="s">
        <v>24</v>
      </c>
      <c r="G106" s="8" t="s">
        <v>29</v>
      </c>
      <c r="H106" s="8" t="s">
        <v>31</v>
      </c>
      <c r="I106" s="11">
        <v>3.0</v>
      </c>
      <c r="J106" s="11">
        <v>2.0</v>
      </c>
      <c r="K106" s="11">
        <f t="shared" si="1"/>
        <v>3</v>
      </c>
      <c r="L106" s="8" t="s">
        <v>302</v>
      </c>
      <c r="M106" s="8" t="s">
        <v>83</v>
      </c>
    </row>
    <row r="107" ht="57.75" customHeight="1">
      <c r="A107" s="8" t="s">
        <v>196</v>
      </c>
      <c r="B107" s="8" t="s">
        <v>200</v>
      </c>
      <c r="C107" s="8" t="s">
        <v>75</v>
      </c>
      <c r="D107" s="9">
        <v>46247.5</v>
      </c>
      <c r="E107" s="8" t="s">
        <v>5</v>
      </c>
      <c r="F107" s="8" t="s">
        <v>37</v>
      </c>
      <c r="G107" s="8" t="s">
        <v>39</v>
      </c>
      <c r="H107" s="8" t="s">
        <v>39</v>
      </c>
      <c r="I107" s="11">
        <v>3.0</v>
      </c>
      <c r="J107" s="11">
        <v>0.0</v>
      </c>
      <c r="K107" s="11">
        <f t="shared" si="1"/>
        <v>0</v>
      </c>
      <c r="L107" s="8" t="s">
        <v>105</v>
      </c>
      <c r="M107" s="8" t="s">
        <v>83</v>
      </c>
    </row>
    <row r="108" ht="57.75" customHeight="1">
      <c r="A108" s="8" t="s">
        <v>196</v>
      </c>
      <c r="B108" s="8" t="s">
        <v>200</v>
      </c>
      <c r="C108" s="8" t="s">
        <v>75</v>
      </c>
      <c r="D108" s="9">
        <v>46247.5</v>
      </c>
      <c r="E108" s="8" t="s">
        <v>5</v>
      </c>
      <c r="F108" s="8" t="s">
        <v>48</v>
      </c>
      <c r="G108" s="8" t="s">
        <v>50</v>
      </c>
      <c r="H108" s="8" t="s">
        <v>50</v>
      </c>
      <c r="I108" s="11">
        <v>4.0</v>
      </c>
      <c r="J108" s="11">
        <v>1.0</v>
      </c>
      <c r="K108" s="11">
        <f t="shared" si="1"/>
        <v>2</v>
      </c>
      <c r="L108" s="8" t="s">
        <v>138</v>
      </c>
      <c r="M108" s="8" t="s">
        <v>83</v>
      </c>
    </row>
    <row r="109" ht="57.75" customHeight="1">
      <c r="A109" s="8" t="s">
        <v>196</v>
      </c>
      <c r="B109" s="8" t="s">
        <v>200</v>
      </c>
      <c r="C109" s="8" t="s">
        <v>75</v>
      </c>
      <c r="D109" s="9">
        <v>46247.5</v>
      </c>
      <c r="E109" s="8" t="s">
        <v>6</v>
      </c>
      <c r="F109" s="8" t="s">
        <v>54</v>
      </c>
      <c r="G109" s="8" t="s">
        <v>55</v>
      </c>
      <c r="H109" s="8" t="s">
        <v>56</v>
      </c>
      <c r="I109" s="11">
        <v>5.0</v>
      </c>
      <c r="J109" s="11">
        <v>2.0</v>
      </c>
      <c r="K109" s="11">
        <f t="shared" si="1"/>
        <v>5</v>
      </c>
      <c r="L109" s="8" t="s">
        <v>303</v>
      </c>
      <c r="M109" s="8" t="s">
        <v>83</v>
      </c>
    </row>
    <row r="110" ht="57.75" customHeight="1">
      <c r="A110" s="8" t="s">
        <v>196</v>
      </c>
      <c r="B110" s="8" t="s">
        <v>200</v>
      </c>
      <c r="C110" s="8" t="s">
        <v>75</v>
      </c>
      <c r="D110" s="9">
        <v>46247.5</v>
      </c>
      <c r="E110" s="8" t="s">
        <v>6</v>
      </c>
      <c r="F110" s="8" t="s">
        <v>60</v>
      </c>
      <c r="G110" s="8" t="s">
        <v>61</v>
      </c>
      <c r="H110" s="8" t="s">
        <v>61</v>
      </c>
      <c r="I110" s="11">
        <v>5.0</v>
      </c>
      <c r="J110" s="11">
        <v>1.0</v>
      </c>
      <c r="K110" s="11">
        <f t="shared" si="1"/>
        <v>2.5</v>
      </c>
      <c r="L110" s="8" t="s">
        <v>304</v>
      </c>
      <c r="M110" s="8" t="s">
        <v>83</v>
      </c>
    </row>
    <row r="111" ht="57.75" customHeight="1">
      <c r="A111" s="8" t="s">
        <v>196</v>
      </c>
      <c r="B111" s="8" t="s">
        <v>200</v>
      </c>
      <c r="C111" s="8" t="s">
        <v>75</v>
      </c>
      <c r="D111" s="9">
        <v>46247.5</v>
      </c>
      <c r="E111" s="8" t="s">
        <v>6</v>
      </c>
      <c r="F111" s="8" t="s">
        <v>65</v>
      </c>
      <c r="G111" s="8" t="s">
        <v>66</v>
      </c>
      <c r="H111" s="8" t="s">
        <v>67</v>
      </c>
      <c r="I111" s="11">
        <v>5.0</v>
      </c>
      <c r="J111" s="11">
        <v>1.0</v>
      </c>
      <c r="K111" s="11">
        <f t="shared" si="1"/>
        <v>2.5</v>
      </c>
      <c r="L111" s="8" t="s">
        <v>305</v>
      </c>
      <c r="M111" s="8" t="s">
        <v>83</v>
      </c>
    </row>
    <row r="112" ht="57.75" customHeight="1">
      <c r="A112" s="8" t="s">
        <v>196</v>
      </c>
      <c r="B112" s="8" t="s">
        <v>200</v>
      </c>
      <c r="C112" s="8" t="s">
        <v>75</v>
      </c>
      <c r="D112" s="9">
        <v>46247.5</v>
      </c>
      <c r="E112" s="8" t="s">
        <v>6</v>
      </c>
      <c r="F112" s="8" t="s">
        <v>71</v>
      </c>
      <c r="G112" s="8" t="s">
        <v>74</v>
      </c>
      <c r="H112" s="8" t="s">
        <v>74</v>
      </c>
      <c r="I112" s="11">
        <v>4.0</v>
      </c>
      <c r="J112" s="11">
        <v>0.0</v>
      </c>
      <c r="K112" s="11">
        <f t="shared" si="1"/>
        <v>0</v>
      </c>
      <c r="L112" s="8" t="s">
        <v>219</v>
      </c>
      <c r="M112" s="8" t="s">
        <v>83</v>
      </c>
    </row>
    <row r="113" ht="57.75" customHeight="1">
      <c r="A113" s="8" t="s">
        <v>196</v>
      </c>
      <c r="B113" s="8" t="s">
        <v>200</v>
      </c>
      <c r="C113" s="8" t="s">
        <v>75</v>
      </c>
      <c r="D113" s="9">
        <v>46247.5</v>
      </c>
      <c r="E113" s="8" t="s">
        <v>6</v>
      </c>
      <c r="F113" s="8" t="s">
        <v>79</v>
      </c>
      <c r="G113" s="8" t="s">
        <v>81</v>
      </c>
      <c r="H113" s="8" t="s">
        <v>82</v>
      </c>
      <c r="I113" s="11">
        <v>4.0</v>
      </c>
      <c r="J113" s="11">
        <v>1.0</v>
      </c>
      <c r="K113" s="11">
        <f t="shared" si="1"/>
        <v>2</v>
      </c>
      <c r="L113" s="8" t="s">
        <v>306</v>
      </c>
      <c r="M113" s="8" t="s">
        <v>83</v>
      </c>
    </row>
    <row r="114" ht="57.75" customHeight="1">
      <c r="A114" s="8" t="s">
        <v>196</v>
      </c>
      <c r="B114" s="8" t="s">
        <v>200</v>
      </c>
      <c r="C114" s="8" t="s">
        <v>75</v>
      </c>
      <c r="D114" s="9">
        <v>46247.5</v>
      </c>
      <c r="E114" s="8" t="s">
        <v>6</v>
      </c>
      <c r="F114" s="8" t="s">
        <v>87</v>
      </c>
      <c r="G114" s="8" t="s">
        <v>88</v>
      </c>
      <c r="H114" s="8" t="s">
        <v>88</v>
      </c>
      <c r="I114" s="11">
        <v>5.0</v>
      </c>
      <c r="J114" s="11">
        <v>1.0</v>
      </c>
      <c r="K114" s="11">
        <f t="shared" si="1"/>
        <v>2.5</v>
      </c>
      <c r="L114" s="8" t="s">
        <v>235</v>
      </c>
      <c r="M114" s="8" t="s">
        <v>83</v>
      </c>
    </row>
    <row r="115" ht="57.75" customHeight="1">
      <c r="A115" s="8" t="s">
        <v>196</v>
      </c>
      <c r="B115" s="8" t="s">
        <v>200</v>
      </c>
      <c r="C115" s="8" t="s">
        <v>75</v>
      </c>
      <c r="D115" s="9">
        <v>46247.5</v>
      </c>
      <c r="E115" s="8" t="s">
        <v>6</v>
      </c>
      <c r="F115" s="8" t="s">
        <v>92</v>
      </c>
      <c r="G115" s="8" t="s">
        <v>93</v>
      </c>
      <c r="H115" s="8" t="s">
        <v>94</v>
      </c>
      <c r="I115" s="11">
        <v>5.0</v>
      </c>
      <c r="J115" s="11">
        <v>1.0</v>
      </c>
      <c r="K115" s="11">
        <f t="shared" si="1"/>
        <v>2.5</v>
      </c>
      <c r="L115" s="8" t="s">
        <v>242</v>
      </c>
      <c r="M115" s="8" t="s">
        <v>83</v>
      </c>
    </row>
    <row r="116" ht="57.75" customHeight="1">
      <c r="A116" s="8" t="s">
        <v>196</v>
      </c>
      <c r="B116" s="8" t="s">
        <v>200</v>
      </c>
      <c r="C116" s="8" t="s">
        <v>75</v>
      </c>
      <c r="D116" s="9">
        <v>46247.5</v>
      </c>
      <c r="E116" s="8" t="s">
        <v>6</v>
      </c>
      <c r="F116" s="8" t="s">
        <v>100</v>
      </c>
      <c r="G116" s="8" t="s">
        <v>102</v>
      </c>
      <c r="H116" s="8" t="s">
        <v>102</v>
      </c>
      <c r="I116" s="11">
        <v>7.0</v>
      </c>
      <c r="J116" s="11">
        <v>1.0</v>
      </c>
      <c r="K116" s="11">
        <f t="shared" si="1"/>
        <v>3.5</v>
      </c>
      <c r="L116" s="8" t="s">
        <v>243</v>
      </c>
      <c r="M116" s="8" t="s">
        <v>83</v>
      </c>
    </row>
    <row r="117" ht="57.75" customHeight="1">
      <c r="A117" s="8" t="s">
        <v>196</v>
      </c>
      <c r="B117" s="8" t="s">
        <v>200</v>
      </c>
      <c r="C117" s="8" t="s">
        <v>75</v>
      </c>
      <c r="D117" s="9">
        <v>46247.5</v>
      </c>
      <c r="E117" s="8" t="s">
        <v>7</v>
      </c>
      <c r="F117" s="8" t="s">
        <v>110</v>
      </c>
      <c r="G117" s="8" t="s">
        <v>113</v>
      </c>
      <c r="H117" s="8" t="s">
        <v>113</v>
      </c>
      <c r="I117" s="11">
        <v>3.0</v>
      </c>
      <c r="J117" s="11">
        <v>1.0</v>
      </c>
      <c r="K117" s="11">
        <f t="shared" si="1"/>
        <v>1.5</v>
      </c>
      <c r="L117" s="8" t="s">
        <v>243</v>
      </c>
      <c r="M117" s="8" t="s">
        <v>83</v>
      </c>
    </row>
    <row r="118" ht="57.75" customHeight="1">
      <c r="A118" s="8" t="s">
        <v>196</v>
      </c>
      <c r="B118" s="8" t="s">
        <v>200</v>
      </c>
      <c r="C118" s="8" t="s">
        <v>75</v>
      </c>
      <c r="D118" s="9">
        <v>46247.5</v>
      </c>
      <c r="E118" s="8" t="s">
        <v>7</v>
      </c>
      <c r="F118" s="8" t="s">
        <v>117</v>
      </c>
      <c r="G118" s="8" t="s">
        <v>118</v>
      </c>
      <c r="H118" s="8" t="s">
        <v>118</v>
      </c>
      <c r="I118" s="11">
        <v>2.0</v>
      </c>
      <c r="J118" s="11">
        <v>1.0</v>
      </c>
      <c r="K118" s="11">
        <f t="shared" si="1"/>
        <v>1</v>
      </c>
      <c r="L118" s="8" t="s">
        <v>307</v>
      </c>
      <c r="M118" s="8" t="s">
        <v>83</v>
      </c>
    </row>
    <row r="119" ht="57.75" customHeight="1">
      <c r="A119" s="8" t="s">
        <v>196</v>
      </c>
      <c r="B119" s="8" t="s">
        <v>200</v>
      </c>
      <c r="C119" s="8" t="s">
        <v>75</v>
      </c>
      <c r="D119" s="9">
        <v>46247.5</v>
      </c>
      <c r="E119" s="8" t="s">
        <v>7</v>
      </c>
      <c r="F119" s="8" t="s">
        <v>122</v>
      </c>
      <c r="G119" s="8" t="s">
        <v>123</v>
      </c>
      <c r="H119" s="8" t="s">
        <v>124</v>
      </c>
      <c r="I119" s="11">
        <v>4.0</v>
      </c>
      <c r="J119" s="11">
        <v>2.0</v>
      </c>
      <c r="K119" s="11">
        <f t="shared" si="1"/>
        <v>4</v>
      </c>
      <c r="L119" s="8" t="s">
        <v>308</v>
      </c>
      <c r="M119" s="8" t="s">
        <v>83</v>
      </c>
    </row>
    <row r="120" ht="57.75" customHeight="1">
      <c r="A120" s="8" t="s">
        <v>196</v>
      </c>
      <c r="B120" s="8" t="s">
        <v>200</v>
      </c>
      <c r="C120" s="8" t="s">
        <v>75</v>
      </c>
      <c r="D120" s="9">
        <v>46247.5</v>
      </c>
      <c r="E120" s="8" t="s">
        <v>7</v>
      </c>
      <c r="F120" s="8" t="s">
        <v>128</v>
      </c>
      <c r="G120" s="8" t="s">
        <v>130</v>
      </c>
      <c r="H120" s="8" t="s">
        <v>131</v>
      </c>
      <c r="I120" s="11">
        <v>4.0</v>
      </c>
      <c r="J120" s="11">
        <v>1.0</v>
      </c>
      <c r="K120" s="11">
        <f t="shared" si="1"/>
        <v>2</v>
      </c>
      <c r="L120" s="8" t="s">
        <v>309</v>
      </c>
      <c r="M120" s="8" t="s">
        <v>83</v>
      </c>
    </row>
    <row r="121" ht="57.75" customHeight="1">
      <c r="A121" s="8" t="s">
        <v>196</v>
      </c>
      <c r="B121" s="8" t="s">
        <v>200</v>
      </c>
      <c r="C121" s="8" t="s">
        <v>75</v>
      </c>
      <c r="D121" s="9">
        <v>46247.5</v>
      </c>
      <c r="E121" s="8" t="s">
        <v>7</v>
      </c>
      <c r="F121" s="8" t="s">
        <v>139</v>
      </c>
      <c r="G121" s="8" t="s">
        <v>141</v>
      </c>
      <c r="H121" s="8" t="s">
        <v>141</v>
      </c>
      <c r="I121" s="11">
        <v>3.0</v>
      </c>
      <c r="J121" s="11">
        <v>2.0</v>
      </c>
      <c r="K121" s="11">
        <f t="shared" si="1"/>
        <v>3</v>
      </c>
      <c r="L121" s="8" t="s">
        <v>251</v>
      </c>
      <c r="M121" s="8" t="s">
        <v>83</v>
      </c>
    </row>
    <row r="122" ht="57.75" customHeight="1">
      <c r="A122" s="8" t="s">
        <v>196</v>
      </c>
      <c r="B122" s="8" t="s">
        <v>200</v>
      </c>
      <c r="C122" s="8" t="s">
        <v>75</v>
      </c>
      <c r="D122" s="9">
        <v>46247.5</v>
      </c>
      <c r="E122" s="8" t="s">
        <v>7</v>
      </c>
      <c r="F122" s="8" t="s">
        <v>146</v>
      </c>
      <c r="G122" s="8" t="s">
        <v>147</v>
      </c>
      <c r="H122" s="8" t="s">
        <v>147</v>
      </c>
      <c r="I122" s="11">
        <v>3.0</v>
      </c>
      <c r="J122" s="11">
        <v>2.0</v>
      </c>
      <c r="K122" s="11">
        <f t="shared" si="1"/>
        <v>3</v>
      </c>
      <c r="L122" s="8" t="s">
        <v>252</v>
      </c>
      <c r="M122" s="8" t="s">
        <v>83</v>
      </c>
    </row>
    <row r="123" ht="57.75" customHeight="1">
      <c r="A123" s="8" t="s">
        <v>196</v>
      </c>
      <c r="B123" s="8" t="s">
        <v>200</v>
      </c>
      <c r="C123" s="8" t="s">
        <v>75</v>
      </c>
      <c r="D123" s="9">
        <v>46247.5</v>
      </c>
      <c r="E123" s="8" t="s">
        <v>7</v>
      </c>
      <c r="F123" s="8" t="s">
        <v>151</v>
      </c>
      <c r="G123" s="8" t="s">
        <v>152</v>
      </c>
      <c r="H123" s="8" t="s">
        <v>152</v>
      </c>
      <c r="I123" s="11">
        <v>2.0</v>
      </c>
      <c r="J123" s="11">
        <v>2.0</v>
      </c>
      <c r="K123" s="11">
        <f t="shared" si="1"/>
        <v>2</v>
      </c>
      <c r="L123" s="8" t="s">
        <v>253</v>
      </c>
      <c r="M123" s="8" t="s">
        <v>83</v>
      </c>
    </row>
    <row r="124" ht="57.75" customHeight="1">
      <c r="A124" s="8" t="s">
        <v>196</v>
      </c>
      <c r="B124" s="8" t="s">
        <v>200</v>
      </c>
      <c r="C124" s="8" t="s">
        <v>75</v>
      </c>
      <c r="D124" s="9">
        <v>46247.5</v>
      </c>
      <c r="E124" s="8" t="s">
        <v>7</v>
      </c>
      <c r="F124" s="8" t="s">
        <v>156</v>
      </c>
      <c r="G124" s="8" t="s">
        <v>157</v>
      </c>
      <c r="H124" s="8" t="s">
        <v>157</v>
      </c>
      <c r="I124" s="11">
        <v>5.0</v>
      </c>
      <c r="J124" s="11">
        <v>1.0</v>
      </c>
      <c r="K124" s="11">
        <f t="shared" si="1"/>
        <v>2.5</v>
      </c>
      <c r="L124" s="8" t="s">
        <v>310</v>
      </c>
      <c r="M124" s="8" t="s">
        <v>83</v>
      </c>
    </row>
    <row r="125" ht="57.75" customHeight="1">
      <c r="A125" s="8" t="s">
        <v>196</v>
      </c>
      <c r="B125" s="8" t="s">
        <v>200</v>
      </c>
      <c r="C125" s="8" t="s">
        <v>75</v>
      </c>
      <c r="D125" s="9">
        <v>46247.5</v>
      </c>
      <c r="E125" s="8" t="s">
        <v>7</v>
      </c>
      <c r="F125" s="8" t="s">
        <v>163</v>
      </c>
      <c r="G125" s="8" t="s">
        <v>165</v>
      </c>
      <c r="H125" s="8" t="s">
        <v>165</v>
      </c>
      <c r="I125" s="11">
        <v>4.0</v>
      </c>
      <c r="J125" s="11">
        <v>1.0</v>
      </c>
      <c r="K125" s="11">
        <f t="shared" si="1"/>
        <v>2</v>
      </c>
      <c r="L125" s="8" t="s">
        <v>311</v>
      </c>
      <c r="M125" s="8" t="s">
        <v>83</v>
      </c>
    </row>
    <row r="126" ht="57.75" customHeight="1">
      <c r="A126" s="8" t="s">
        <v>196</v>
      </c>
      <c r="B126" s="8" t="s">
        <v>200</v>
      </c>
      <c r="C126" s="8" t="s">
        <v>75</v>
      </c>
      <c r="D126" s="9">
        <v>46247.5</v>
      </c>
      <c r="E126" s="8" t="s">
        <v>8</v>
      </c>
      <c r="F126" s="8" t="s">
        <v>173</v>
      </c>
      <c r="G126" s="8" t="s">
        <v>174</v>
      </c>
      <c r="H126" s="8" t="s">
        <v>174</v>
      </c>
      <c r="I126" s="11">
        <v>5.0</v>
      </c>
      <c r="J126" s="11">
        <v>1.0</v>
      </c>
      <c r="K126" s="11">
        <f t="shared" si="1"/>
        <v>2.5</v>
      </c>
      <c r="L126" s="8" t="s">
        <v>312</v>
      </c>
      <c r="M126" s="8" t="s">
        <v>83</v>
      </c>
    </row>
    <row r="127" ht="57.75" customHeight="1">
      <c r="A127" s="8" t="s">
        <v>196</v>
      </c>
      <c r="B127" s="8" t="s">
        <v>200</v>
      </c>
      <c r="C127" s="8" t="s">
        <v>75</v>
      </c>
      <c r="D127" s="9">
        <v>46247.5</v>
      </c>
      <c r="E127" s="8" t="s">
        <v>8</v>
      </c>
      <c r="F127" s="8" t="s">
        <v>178</v>
      </c>
      <c r="G127" s="8" t="s">
        <v>179</v>
      </c>
      <c r="H127" s="8" t="s">
        <v>179</v>
      </c>
      <c r="I127" s="11">
        <v>3.0</v>
      </c>
      <c r="J127" s="11">
        <v>1.0</v>
      </c>
      <c r="K127" s="11">
        <f t="shared" si="1"/>
        <v>1.5</v>
      </c>
      <c r="L127" s="8" t="s">
        <v>313</v>
      </c>
      <c r="M127" s="8" t="s">
        <v>83</v>
      </c>
    </row>
    <row r="128" ht="57.75" customHeight="1">
      <c r="A128" s="8" t="s">
        <v>196</v>
      </c>
      <c r="B128" s="8" t="s">
        <v>200</v>
      </c>
      <c r="C128" s="8" t="s">
        <v>75</v>
      </c>
      <c r="D128" s="9">
        <v>46247.5</v>
      </c>
      <c r="E128" s="8" t="s">
        <v>8</v>
      </c>
      <c r="F128" s="8" t="s">
        <v>183</v>
      </c>
      <c r="G128" s="8" t="s">
        <v>184</v>
      </c>
      <c r="H128" s="8" t="s">
        <v>184</v>
      </c>
      <c r="I128" s="11">
        <v>4.0</v>
      </c>
      <c r="J128" s="11">
        <v>1.0</v>
      </c>
      <c r="K128" s="11">
        <f t="shared" si="1"/>
        <v>2</v>
      </c>
      <c r="L128" s="8" t="s">
        <v>272</v>
      </c>
      <c r="M128" s="8" t="s">
        <v>83</v>
      </c>
    </row>
    <row r="129" ht="57.75" customHeight="1">
      <c r="A129" s="8" t="s">
        <v>196</v>
      </c>
      <c r="B129" s="8" t="s">
        <v>200</v>
      </c>
      <c r="C129" s="8" t="s">
        <v>75</v>
      </c>
      <c r="D129" s="9">
        <v>46247.5</v>
      </c>
      <c r="E129" s="8" t="s">
        <v>8</v>
      </c>
      <c r="F129" s="8" t="s">
        <v>191</v>
      </c>
      <c r="G129" s="8" t="s">
        <v>193</v>
      </c>
      <c r="H129" s="8" t="s">
        <v>193</v>
      </c>
      <c r="I129" s="11">
        <v>2.0</v>
      </c>
      <c r="J129" s="11">
        <v>1.0</v>
      </c>
      <c r="K129" s="11">
        <f t="shared" si="1"/>
        <v>1</v>
      </c>
      <c r="L129" s="8" t="s">
        <v>273</v>
      </c>
      <c r="M129" s="8" t="s">
        <v>83</v>
      </c>
    </row>
    <row r="130" ht="57.75" customHeight="1">
      <c r="A130" s="8" t="s">
        <v>196</v>
      </c>
      <c r="B130" s="8" t="s">
        <v>200</v>
      </c>
      <c r="C130" s="8" t="s">
        <v>75</v>
      </c>
      <c r="D130" s="9">
        <v>46247.5</v>
      </c>
      <c r="E130" s="8" t="s">
        <v>8</v>
      </c>
      <c r="F130" s="8" t="s">
        <v>199</v>
      </c>
      <c r="G130" s="8" t="s">
        <v>201</v>
      </c>
      <c r="H130" s="8" t="s">
        <v>201</v>
      </c>
      <c r="I130" s="11">
        <v>1.0</v>
      </c>
      <c r="J130" s="11">
        <v>1.0</v>
      </c>
      <c r="K130" s="11">
        <f t="shared" si="1"/>
        <v>0.5</v>
      </c>
      <c r="L130" s="8" t="s">
        <v>314</v>
      </c>
      <c r="M130" s="8" t="s">
        <v>83</v>
      </c>
    </row>
    <row r="131" ht="57.75" customHeight="1">
      <c r="A131" s="8" t="s">
        <v>196</v>
      </c>
      <c r="B131" s="8" t="s">
        <v>200</v>
      </c>
      <c r="C131" s="8" t="s">
        <v>75</v>
      </c>
      <c r="D131" s="9">
        <v>46247.5</v>
      </c>
      <c r="E131" s="8" t="s">
        <v>8</v>
      </c>
      <c r="F131" s="8" t="s">
        <v>205</v>
      </c>
      <c r="G131" s="8" t="s">
        <v>206</v>
      </c>
      <c r="H131" s="8" t="s">
        <v>206</v>
      </c>
      <c r="I131" s="11">
        <v>5.0</v>
      </c>
      <c r="J131" s="11">
        <v>1.0</v>
      </c>
      <c r="K131" s="11">
        <f t="shared" si="1"/>
        <v>2.5</v>
      </c>
      <c r="L131" s="8" t="s">
        <v>290</v>
      </c>
      <c r="M131" s="8" t="s">
        <v>83</v>
      </c>
    </row>
    <row r="132" ht="57.75" customHeight="1">
      <c r="A132" s="8" t="s">
        <v>230</v>
      </c>
      <c r="B132" s="8" t="s">
        <v>232</v>
      </c>
      <c r="C132" s="8" t="s">
        <v>75</v>
      </c>
      <c r="D132" s="9">
        <v>46212.5</v>
      </c>
      <c r="E132" s="8" t="s">
        <v>5</v>
      </c>
      <c r="F132" s="8" t="s">
        <v>24</v>
      </c>
      <c r="G132" s="8" t="s">
        <v>29</v>
      </c>
      <c r="H132" s="8" t="s">
        <v>31</v>
      </c>
      <c r="I132" s="11">
        <v>3.0</v>
      </c>
      <c r="J132" s="11">
        <v>2.0</v>
      </c>
      <c r="K132" s="11">
        <f t="shared" si="1"/>
        <v>3</v>
      </c>
      <c r="L132" s="8" t="s">
        <v>302</v>
      </c>
      <c r="M132" s="8" t="s">
        <v>83</v>
      </c>
    </row>
    <row r="133" ht="57.75" customHeight="1">
      <c r="A133" s="8" t="s">
        <v>230</v>
      </c>
      <c r="B133" s="8" t="s">
        <v>232</v>
      </c>
      <c r="C133" s="8" t="s">
        <v>75</v>
      </c>
      <c r="D133" s="9">
        <v>46212.5</v>
      </c>
      <c r="E133" s="8" t="s">
        <v>5</v>
      </c>
      <c r="F133" s="8" t="s">
        <v>37</v>
      </c>
      <c r="G133" s="8" t="s">
        <v>39</v>
      </c>
      <c r="H133" s="8" t="s">
        <v>39</v>
      </c>
      <c r="I133" s="11">
        <v>3.0</v>
      </c>
      <c r="J133" s="11">
        <v>0.0</v>
      </c>
      <c r="K133" s="11">
        <f t="shared" si="1"/>
        <v>0</v>
      </c>
      <c r="L133" s="8" t="s">
        <v>105</v>
      </c>
      <c r="M133" s="8" t="s">
        <v>83</v>
      </c>
    </row>
    <row r="134" ht="57.75" customHeight="1">
      <c r="A134" s="8" t="s">
        <v>230</v>
      </c>
      <c r="B134" s="8" t="s">
        <v>232</v>
      </c>
      <c r="C134" s="8" t="s">
        <v>75</v>
      </c>
      <c r="D134" s="9">
        <v>46212.5</v>
      </c>
      <c r="E134" s="8" t="s">
        <v>5</v>
      </c>
      <c r="F134" s="8" t="s">
        <v>48</v>
      </c>
      <c r="G134" s="8" t="s">
        <v>50</v>
      </c>
      <c r="H134" s="8" t="s">
        <v>50</v>
      </c>
      <c r="I134" s="11">
        <v>4.0</v>
      </c>
      <c r="J134" s="11">
        <v>1.0</v>
      </c>
      <c r="K134" s="11">
        <f t="shared" si="1"/>
        <v>2</v>
      </c>
      <c r="L134" s="8" t="s">
        <v>315</v>
      </c>
      <c r="M134" s="8" t="s">
        <v>83</v>
      </c>
    </row>
    <row r="135" ht="57.75" customHeight="1">
      <c r="A135" s="8" t="s">
        <v>230</v>
      </c>
      <c r="B135" s="8" t="s">
        <v>232</v>
      </c>
      <c r="C135" s="8" t="s">
        <v>75</v>
      </c>
      <c r="D135" s="9">
        <v>46212.5</v>
      </c>
      <c r="E135" s="8" t="s">
        <v>6</v>
      </c>
      <c r="F135" s="8" t="s">
        <v>54</v>
      </c>
      <c r="G135" s="8" t="s">
        <v>55</v>
      </c>
      <c r="H135" s="8" t="s">
        <v>56</v>
      </c>
      <c r="I135" s="11">
        <v>5.0</v>
      </c>
      <c r="J135" s="11">
        <v>2.0</v>
      </c>
      <c r="K135" s="11">
        <f t="shared" si="1"/>
        <v>5</v>
      </c>
      <c r="L135" s="8" t="s">
        <v>316</v>
      </c>
      <c r="M135" s="8" t="s">
        <v>83</v>
      </c>
    </row>
    <row r="136" ht="57.75" customHeight="1">
      <c r="A136" s="8" t="s">
        <v>230</v>
      </c>
      <c r="B136" s="8" t="s">
        <v>232</v>
      </c>
      <c r="C136" s="8" t="s">
        <v>75</v>
      </c>
      <c r="D136" s="9">
        <v>46212.5</v>
      </c>
      <c r="E136" s="8" t="s">
        <v>6</v>
      </c>
      <c r="F136" s="8" t="s">
        <v>60</v>
      </c>
      <c r="G136" s="8" t="s">
        <v>61</v>
      </c>
      <c r="H136" s="8" t="s">
        <v>61</v>
      </c>
      <c r="I136" s="11">
        <v>5.0</v>
      </c>
      <c r="J136" s="11">
        <v>1.0</v>
      </c>
      <c r="K136" s="11">
        <f t="shared" si="1"/>
        <v>2.5</v>
      </c>
      <c r="L136" s="8" t="s">
        <v>304</v>
      </c>
      <c r="M136" s="8" t="s">
        <v>83</v>
      </c>
    </row>
    <row r="137" ht="57.75" customHeight="1">
      <c r="A137" s="8" t="s">
        <v>230</v>
      </c>
      <c r="B137" s="8" t="s">
        <v>232</v>
      </c>
      <c r="C137" s="8" t="s">
        <v>75</v>
      </c>
      <c r="D137" s="9">
        <v>46212.5</v>
      </c>
      <c r="E137" s="8" t="s">
        <v>6</v>
      </c>
      <c r="F137" s="8" t="s">
        <v>65</v>
      </c>
      <c r="G137" s="8" t="s">
        <v>66</v>
      </c>
      <c r="H137" s="8" t="s">
        <v>67</v>
      </c>
      <c r="I137" s="11">
        <v>5.0</v>
      </c>
      <c r="J137" s="11">
        <v>1.0</v>
      </c>
      <c r="K137" s="11">
        <f t="shared" si="1"/>
        <v>2.5</v>
      </c>
      <c r="L137" s="8" t="s">
        <v>317</v>
      </c>
      <c r="M137" s="8" t="s">
        <v>83</v>
      </c>
    </row>
    <row r="138" ht="57.75" customHeight="1">
      <c r="A138" s="8" t="s">
        <v>230</v>
      </c>
      <c r="B138" s="8" t="s">
        <v>232</v>
      </c>
      <c r="C138" s="8" t="s">
        <v>75</v>
      </c>
      <c r="D138" s="9">
        <v>46212.5</v>
      </c>
      <c r="E138" s="8" t="s">
        <v>6</v>
      </c>
      <c r="F138" s="8" t="s">
        <v>71</v>
      </c>
      <c r="G138" s="8" t="s">
        <v>74</v>
      </c>
      <c r="H138" s="8" t="s">
        <v>74</v>
      </c>
      <c r="I138" s="11">
        <v>4.0</v>
      </c>
      <c r="J138" s="11">
        <v>0.0</v>
      </c>
      <c r="K138" s="11">
        <f t="shared" si="1"/>
        <v>0</v>
      </c>
      <c r="L138" s="8" t="s">
        <v>219</v>
      </c>
      <c r="M138" s="8" t="s">
        <v>83</v>
      </c>
    </row>
    <row r="139" ht="57.75" customHeight="1">
      <c r="A139" s="8" t="s">
        <v>230</v>
      </c>
      <c r="B139" s="8" t="s">
        <v>232</v>
      </c>
      <c r="C139" s="8" t="s">
        <v>75</v>
      </c>
      <c r="D139" s="9">
        <v>46212.5</v>
      </c>
      <c r="E139" s="8" t="s">
        <v>6</v>
      </c>
      <c r="F139" s="8" t="s">
        <v>79</v>
      </c>
      <c r="G139" s="8" t="s">
        <v>81</v>
      </c>
      <c r="H139" s="8" t="s">
        <v>82</v>
      </c>
      <c r="I139" s="11">
        <v>4.0</v>
      </c>
      <c r="J139" s="11">
        <v>1.0</v>
      </c>
      <c r="K139" s="11">
        <f t="shared" si="1"/>
        <v>2</v>
      </c>
      <c r="L139" s="8" t="s">
        <v>318</v>
      </c>
      <c r="M139" s="8" t="s">
        <v>83</v>
      </c>
    </row>
    <row r="140" ht="57.75" customHeight="1">
      <c r="A140" s="8" t="s">
        <v>230</v>
      </c>
      <c r="B140" s="8" t="s">
        <v>232</v>
      </c>
      <c r="C140" s="8" t="s">
        <v>75</v>
      </c>
      <c r="D140" s="9">
        <v>46212.5</v>
      </c>
      <c r="E140" s="8" t="s">
        <v>6</v>
      </c>
      <c r="F140" s="8" t="s">
        <v>87</v>
      </c>
      <c r="G140" s="8" t="s">
        <v>88</v>
      </c>
      <c r="H140" s="8" t="s">
        <v>88</v>
      </c>
      <c r="I140" s="11">
        <v>5.0</v>
      </c>
      <c r="J140" s="11">
        <v>1.0</v>
      </c>
      <c r="K140" s="11">
        <f t="shared" si="1"/>
        <v>2.5</v>
      </c>
      <c r="L140" s="8" t="s">
        <v>235</v>
      </c>
      <c r="M140" s="8" t="s">
        <v>83</v>
      </c>
    </row>
    <row r="141" ht="57.75" customHeight="1">
      <c r="A141" s="8" t="s">
        <v>230</v>
      </c>
      <c r="B141" s="8" t="s">
        <v>232</v>
      </c>
      <c r="C141" s="8" t="s">
        <v>75</v>
      </c>
      <c r="D141" s="9">
        <v>46212.5</v>
      </c>
      <c r="E141" s="8" t="s">
        <v>6</v>
      </c>
      <c r="F141" s="8" t="s">
        <v>92</v>
      </c>
      <c r="G141" s="8" t="s">
        <v>93</v>
      </c>
      <c r="H141" s="8" t="s">
        <v>94</v>
      </c>
      <c r="I141" s="11">
        <v>5.0</v>
      </c>
      <c r="J141" s="11">
        <v>1.0</v>
      </c>
      <c r="K141" s="11">
        <f t="shared" si="1"/>
        <v>2.5</v>
      </c>
      <c r="L141" s="8" t="s">
        <v>242</v>
      </c>
      <c r="M141" s="8" t="s">
        <v>83</v>
      </c>
    </row>
    <row r="142" ht="57.75" customHeight="1">
      <c r="A142" s="8" t="s">
        <v>230</v>
      </c>
      <c r="B142" s="8" t="s">
        <v>232</v>
      </c>
      <c r="C142" s="8" t="s">
        <v>75</v>
      </c>
      <c r="D142" s="9">
        <v>46212.5</v>
      </c>
      <c r="E142" s="8" t="s">
        <v>6</v>
      </c>
      <c r="F142" s="8" t="s">
        <v>100</v>
      </c>
      <c r="G142" s="8" t="s">
        <v>102</v>
      </c>
      <c r="H142" s="8" t="s">
        <v>102</v>
      </c>
      <c r="I142" s="11">
        <v>7.0</v>
      </c>
      <c r="J142" s="11">
        <v>1.0</v>
      </c>
      <c r="K142" s="11">
        <f t="shared" si="1"/>
        <v>3.5</v>
      </c>
      <c r="L142" s="8" t="s">
        <v>243</v>
      </c>
      <c r="M142" s="8" t="s">
        <v>83</v>
      </c>
    </row>
    <row r="143" ht="57.75" customHeight="1">
      <c r="A143" s="8" t="s">
        <v>230</v>
      </c>
      <c r="B143" s="8" t="s">
        <v>232</v>
      </c>
      <c r="C143" s="8" t="s">
        <v>75</v>
      </c>
      <c r="D143" s="9">
        <v>46212.5</v>
      </c>
      <c r="E143" s="8" t="s">
        <v>7</v>
      </c>
      <c r="F143" s="8" t="s">
        <v>110</v>
      </c>
      <c r="G143" s="8" t="s">
        <v>113</v>
      </c>
      <c r="H143" s="8" t="s">
        <v>113</v>
      </c>
      <c r="I143" s="11">
        <v>3.0</v>
      </c>
      <c r="J143" s="11">
        <v>1.0</v>
      </c>
      <c r="K143" s="11">
        <f t="shared" si="1"/>
        <v>1.5</v>
      </c>
      <c r="L143" s="8" t="s">
        <v>243</v>
      </c>
      <c r="M143" s="8" t="s">
        <v>83</v>
      </c>
    </row>
    <row r="144" ht="57.75" customHeight="1">
      <c r="A144" s="8" t="s">
        <v>230</v>
      </c>
      <c r="B144" s="8" t="s">
        <v>232</v>
      </c>
      <c r="C144" s="8" t="s">
        <v>75</v>
      </c>
      <c r="D144" s="9">
        <v>46212.5</v>
      </c>
      <c r="E144" s="8" t="s">
        <v>7</v>
      </c>
      <c r="F144" s="8" t="s">
        <v>117</v>
      </c>
      <c r="G144" s="8" t="s">
        <v>118</v>
      </c>
      <c r="H144" s="8" t="s">
        <v>118</v>
      </c>
      <c r="I144" s="11">
        <v>2.0</v>
      </c>
      <c r="J144" s="11">
        <v>1.0</v>
      </c>
      <c r="K144" s="11">
        <f t="shared" si="1"/>
        <v>1</v>
      </c>
      <c r="L144" s="8" t="s">
        <v>319</v>
      </c>
      <c r="M144" s="8" t="s">
        <v>83</v>
      </c>
    </row>
    <row r="145" ht="57.75" customHeight="1">
      <c r="A145" s="8" t="s">
        <v>230</v>
      </c>
      <c r="B145" s="8" t="s">
        <v>232</v>
      </c>
      <c r="C145" s="8" t="s">
        <v>75</v>
      </c>
      <c r="D145" s="9">
        <v>46212.5</v>
      </c>
      <c r="E145" s="8" t="s">
        <v>7</v>
      </c>
      <c r="F145" s="8" t="s">
        <v>122</v>
      </c>
      <c r="G145" s="8" t="s">
        <v>123</v>
      </c>
      <c r="H145" s="8" t="s">
        <v>124</v>
      </c>
      <c r="I145" s="11">
        <v>4.0</v>
      </c>
      <c r="J145" s="11">
        <v>2.0</v>
      </c>
      <c r="K145" s="11">
        <f t="shared" si="1"/>
        <v>4</v>
      </c>
      <c r="L145" s="8" t="s">
        <v>320</v>
      </c>
      <c r="M145" s="8" t="s">
        <v>83</v>
      </c>
    </row>
    <row r="146" ht="57.75" customHeight="1">
      <c r="A146" s="8" t="s">
        <v>230</v>
      </c>
      <c r="B146" s="8" t="s">
        <v>232</v>
      </c>
      <c r="C146" s="8" t="s">
        <v>75</v>
      </c>
      <c r="D146" s="9">
        <v>46212.5</v>
      </c>
      <c r="E146" s="8" t="s">
        <v>7</v>
      </c>
      <c r="F146" s="8" t="s">
        <v>128</v>
      </c>
      <c r="G146" s="8" t="s">
        <v>130</v>
      </c>
      <c r="H146" s="8" t="s">
        <v>131</v>
      </c>
      <c r="I146" s="11">
        <v>4.0</v>
      </c>
      <c r="J146" s="11">
        <v>1.0</v>
      </c>
      <c r="K146" s="11">
        <f t="shared" si="1"/>
        <v>2</v>
      </c>
      <c r="L146" s="8" t="s">
        <v>321</v>
      </c>
      <c r="M146" s="8" t="s">
        <v>83</v>
      </c>
    </row>
    <row r="147" ht="57.75" customHeight="1">
      <c r="A147" s="8" t="s">
        <v>230</v>
      </c>
      <c r="B147" s="8" t="s">
        <v>232</v>
      </c>
      <c r="C147" s="8" t="s">
        <v>75</v>
      </c>
      <c r="D147" s="9">
        <v>46212.5</v>
      </c>
      <c r="E147" s="8" t="s">
        <v>7</v>
      </c>
      <c r="F147" s="8" t="s">
        <v>139</v>
      </c>
      <c r="G147" s="8" t="s">
        <v>141</v>
      </c>
      <c r="H147" s="8" t="s">
        <v>141</v>
      </c>
      <c r="I147" s="11">
        <v>3.0</v>
      </c>
      <c r="J147" s="11">
        <v>2.0</v>
      </c>
      <c r="K147" s="11">
        <f t="shared" si="1"/>
        <v>3</v>
      </c>
      <c r="L147" s="8" t="s">
        <v>251</v>
      </c>
      <c r="M147" s="8" t="s">
        <v>83</v>
      </c>
    </row>
    <row r="148" ht="57.75" customHeight="1">
      <c r="A148" s="8" t="s">
        <v>230</v>
      </c>
      <c r="B148" s="8" t="s">
        <v>232</v>
      </c>
      <c r="C148" s="8" t="s">
        <v>75</v>
      </c>
      <c r="D148" s="9">
        <v>46212.5</v>
      </c>
      <c r="E148" s="8" t="s">
        <v>7</v>
      </c>
      <c r="F148" s="8" t="s">
        <v>146</v>
      </c>
      <c r="G148" s="8" t="s">
        <v>147</v>
      </c>
      <c r="H148" s="8" t="s">
        <v>147</v>
      </c>
      <c r="I148" s="11">
        <v>3.0</v>
      </c>
      <c r="J148" s="11">
        <v>2.0</v>
      </c>
      <c r="K148" s="11">
        <f t="shared" si="1"/>
        <v>3</v>
      </c>
      <c r="L148" s="8" t="s">
        <v>252</v>
      </c>
      <c r="M148" s="8" t="s">
        <v>83</v>
      </c>
    </row>
    <row r="149" ht="57.75" customHeight="1">
      <c r="A149" s="8" t="s">
        <v>230</v>
      </c>
      <c r="B149" s="8" t="s">
        <v>232</v>
      </c>
      <c r="C149" s="8" t="s">
        <v>75</v>
      </c>
      <c r="D149" s="9">
        <v>46212.5</v>
      </c>
      <c r="E149" s="8" t="s">
        <v>7</v>
      </c>
      <c r="F149" s="8" t="s">
        <v>151</v>
      </c>
      <c r="G149" s="8" t="s">
        <v>152</v>
      </c>
      <c r="H149" s="8" t="s">
        <v>152</v>
      </c>
      <c r="I149" s="11">
        <v>2.0</v>
      </c>
      <c r="J149" s="11">
        <v>2.0</v>
      </c>
      <c r="K149" s="11">
        <f t="shared" si="1"/>
        <v>2</v>
      </c>
      <c r="L149" s="8" t="s">
        <v>253</v>
      </c>
      <c r="M149" s="8" t="s">
        <v>83</v>
      </c>
    </row>
    <row r="150" ht="57.75" customHeight="1">
      <c r="A150" s="8" t="s">
        <v>230</v>
      </c>
      <c r="B150" s="8" t="s">
        <v>232</v>
      </c>
      <c r="C150" s="8" t="s">
        <v>75</v>
      </c>
      <c r="D150" s="9">
        <v>46212.5</v>
      </c>
      <c r="E150" s="8" t="s">
        <v>7</v>
      </c>
      <c r="F150" s="8" t="s">
        <v>156</v>
      </c>
      <c r="G150" s="8" t="s">
        <v>157</v>
      </c>
      <c r="H150" s="8" t="s">
        <v>157</v>
      </c>
      <c r="I150" s="11">
        <v>5.0</v>
      </c>
      <c r="J150" s="11">
        <v>1.0</v>
      </c>
      <c r="K150" s="11">
        <f t="shared" si="1"/>
        <v>2.5</v>
      </c>
      <c r="L150" s="8" t="s">
        <v>254</v>
      </c>
      <c r="M150" s="8" t="s">
        <v>83</v>
      </c>
    </row>
    <row r="151" ht="57.75" customHeight="1">
      <c r="A151" s="8" t="s">
        <v>230</v>
      </c>
      <c r="B151" s="8" t="s">
        <v>232</v>
      </c>
      <c r="C151" s="8" t="s">
        <v>75</v>
      </c>
      <c r="D151" s="9">
        <v>46212.5</v>
      </c>
      <c r="E151" s="8" t="s">
        <v>7</v>
      </c>
      <c r="F151" s="8" t="s">
        <v>163</v>
      </c>
      <c r="G151" s="8" t="s">
        <v>165</v>
      </c>
      <c r="H151" s="8" t="s">
        <v>165</v>
      </c>
      <c r="I151" s="11">
        <v>4.0</v>
      </c>
      <c r="J151" s="11">
        <v>1.0</v>
      </c>
      <c r="K151" s="11">
        <f t="shared" si="1"/>
        <v>2</v>
      </c>
      <c r="L151" s="8" t="s">
        <v>269</v>
      </c>
      <c r="M151" s="8" t="s">
        <v>83</v>
      </c>
    </row>
    <row r="152" ht="57.75" customHeight="1">
      <c r="A152" s="8" t="s">
        <v>230</v>
      </c>
      <c r="B152" s="8" t="s">
        <v>232</v>
      </c>
      <c r="C152" s="8" t="s">
        <v>75</v>
      </c>
      <c r="D152" s="9">
        <v>46212.5</v>
      </c>
      <c r="E152" s="8" t="s">
        <v>8</v>
      </c>
      <c r="F152" s="8" t="s">
        <v>173</v>
      </c>
      <c r="G152" s="8" t="s">
        <v>174</v>
      </c>
      <c r="H152" s="8" t="s">
        <v>174</v>
      </c>
      <c r="I152" s="11">
        <v>5.0</v>
      </c>
      <c r="J152" s="11">
        <v>0.0</v>
      </c>
      <c r="K152" s="11">
        <f t="shared" si="1"/>
        <v>0</v>
      </c>
      <c r="L152" s="8" t="s">
        <v>322</v>
      </c>
      <c r="M152" s="8" t="s">
        <v>83</v>
      </c>
    </row>
    <row r="153" ht="57.75" customHeight="1">
      <c r="A153" s="8" t="s">
        <v>230</v>
      </c>
      <c r="B153" s="8" t="s">
        <v>232</v>
      </c>
      <c r="C153" s="8" t="s">
        <v>75</v>
      </c>
      <c r="D153" s="9">
        <v>46212.5</v>
      </c>
      <c r="E153" s="8" t="s">
        <v>8</v>
      </c>
      <c r="F153" s="8" t="s">
        <v>178</v>
      </c>
      <c r="G153" s="8" t="s">
        <v>179</v>
      </c>
      <c r="H153" s="8" t="s">
        <v>179</v>
      </c>
      <c r="I153" s="11">
        <v>3.0</v>
      </c>
      <c r="J153" s="11">
        <v>1.0</v>
      </c>
      <c r="K153" s="11">
        <f t="shared" si="1"/>
        <v>1.5</v>
      </c>
      <c r="L153" s="8" t="s">
        <v>323</v>
      </c>
      <c r="M153" s="8" t="s">
        <v>83</v>
      </c>
    </row>
    <row r="154" ht="57.75" customHeight="1">
      <c r="A154" s="8" t="s">
        <v>230</v>
      </c>
      <c r="B154" s="8" t="s">
        <v>232</v>
      </c>
      <c r="C154" s="8" t="s">
        <v>75</v>
      </c>
      <c r="D154" s="9">
        <v>46212.5</v>
      </c>
      <c r="E154" s="8" t="s">
        <v>8</v>
      </c>
      <c r="F154" s="8" t="s">
        <v>183</v>
      </c>
      <c r="G154" s="8" t="s">
        <v>184</v>
      </c>
      <c r="H154" s="8" t="s">
        <v>184</v>
      </c>
      <c r="I154" s="11">
        <v>4.0</v>
      </c>
      <c r="J154" s="11">
        <v>1.0</v>
      </c>
      <c r="K154" s="11">
        <f t="shared" si="1"/>
        <v>2</v>
      </c>
      <c r="L154" s="8" t="s">
        <v>272</v>
      </c>
      <c r="M154" s="8" t="s">
        <v>83</v>
      </c>
    </row>
    <row r="155" ht="57.75" customHeight="1">
      <c r="A155" s="8" t="s">
        <v>230</v>
      </c>
      <c r="B155" s="8" t="s">
        <v>232</v>
      </c>
      <c r="C155" s="8" t="s">
        <v>75</v>
      </c>
      <c r="D155" s="9">
        <v>46212.5</v>
      </c>
      <c r="E155" s="8" t="s">
        <v>8</v>
      </c>
      <c r="F155" s="8" t="s">
        <v>191</v>
      </c>
      <c r="G155" s="8" t="s">
        <v>193</v>
      </c>
      <c r="H155" s="8" t="s">
        <v>193</v>
      </c>
      <c r="I155" s="11">
        <v>2.0</v>
      </c>
      <c r="J155" s="11">
        <v>1.0</v>
      </c>
      <c r="K155" s="11">
        <f t="shared" si="1"/>
        <v>1</v>
      </c>
      <c r="L155" s="8" t="s">
        <v>273</v>
      </c>
      <c r="M155" s="8" t="s">
        <v>83</v>
      </c>
    </row>
    <row r="156" ht="57.75" customHeight="1">
      <c r="A156" s="8" t="s">
        <v>230</v>
      </c>
      <c r="B156" s="8" t="s">
        <v>232</v>
      </c>
      <c r="C156" s="8" t="s">
        <v>75</v>
      </c>
      <c r="D156" s="9">
        <v>46212.5</v>
      </c>
      <c r="E156" s="8" t="s">
        <v>8</v>
      </c>
      <c r="F156" s="8" t="s">
        <v>199</v>
      </c>
      <c r="G156" s="8" t="s">
        <v>201</v>
      </c>
      <c r="H156" s="8" t="s">
        <v>201</v>
      </c>
      <c r="I156" s="11">
        <v>1.0</v>
      </c>
      <c r="J156" s="11">
        <v>2.0</v>
      </c>
      <c r="K156" s="11">
        <f t="shared" si="1"/>
        <v>1</v>
      </c>
      <c r="L156" s="8" t="s">
        <v>324</v>
      </c>
      <c r="M156" s="8" t="s">
        <v>83</v>
      </c>
    </row>
    <row r="157" ht="57.75" customHeight="1">
      <c r="A157" s="8" t="s">
        <v>230</v>
      </c>
      <c r="B157" s="8" t="s">
        <v>232</v>
      </c>
      <c r="C157" s="8" t="s">
        <v>75</v>
      </c>
      <c r="D157" s="9">
        <v>46212.5</v>
      </c>
      <c r="E157" s="8" t="s">
        <v>8</v>
      </c>
      <c r="F157" s="8" t="s">
        <v>205</v>
      </c>
      <c r="G157" s="8" t="s">
        <v>206</v>
      </c>
      <c r="H157" s="8" t="s">
        <v>206</v>
      </c>
      <c r="I157" s="11">
        <v>5.0</v>
      </c>
      <c r="J157" s="11">
        <v>1.0</v>
      </c>
      <c r="K157" s="11">
        <f t="shared" si="1"/>
        <v>2.5</v>
      </c>
      <c r="L157" s="8" t="s">
        <v>325</v>
      </c>
      <c r="M157" s="8" t="s">
        <v>83</v>
      </c>
    </row>
    <row r="158" ht="57.75" customHeight="1">
      <c r="A158" s="8" t="s">
        <v>240</v>
      </c>
      <c r="B158" s="8" t="s">
        <v>241</v>
      </c>
      <c r="C158" s="8" t="s">
        <v>75</v>
      </c>
      <c r="D158" s="9">
        <v>46185.5</v>
      </c>
      <c r="E158" s="8" t="s">
        <v>5</v>
      </c>
      <c r="F158" s="8" t="s">
        <v>24</v>
      </c>
      <c r="G158" s="8" t="s">
        <v>29</v>
      </c>
      <c r="H158" s="8" t="s">
        <v>31</v>
      </c>
      <c r="I158" s="11">
        <v>3.0</v>
      </c>
      <c r="J158" s="11">
        <v>2.0</v>
      </c>
      <c r="K158" s="11">
        <f t="shared" si="1"/>
        <v>3</v>
      </c>
      <c r="L158" s="8" t="s">
        <v>302</v>
      </c>
      <c r="M158" s="8" t="s">
        <v>83</v>
      </c>
    </row>
    <row r="159" ht="57.75" customHeight="1">
      <c r="A159" s="8" t="s">
        <v>240</v>
      </c>
      <c r="B159" s="8" t="s">
        <v>241</v>
      </c>
      <c r="C159" s="8" t="s">
        <v>75</v>
      </c>
      <c r="D159" s="9">
        <v>46185.5</v>
      </c>
      <c r="E159" s="8" t="s">
        <v>5</v>
      </c>
      <c r="F159" s="8" t="s">
        <v>37</v>
      </c>
      <c r="G159" s="8" t="s">
        <v>39</v>
      </c>
      <c r="H159" s="8" t="s">
        <v>39</v>
      </c>
      <c r="I159" s="11">
        <v>3.0</v>
      </c>
      <c r="J159" s="11">
        <v>0.0</v>
      </c>
      <c r="K159" s="11">
        <f t="shared" si="1"/>
        <v>0</v>
      </c>
      <c r="L159" s="8" t="s">
        <v>105</v>
      </c>
      <c r="M159" s="8" t="s">
        <v>83</v>
      </c>
    </row>
    <row r="160" ht="57.75" customHeight="1">
      <c r="A160" s="8" t="s">
        <v>240</v>
      </c>
      <c r="B160" s="8" t="s">
        <v>241</v>
      </c>
      <c r="C160" s="8" t="s">
        <v>75</v>
      </c>
      <c r="D160" s="9">
        <v>46185.5</v>
      </c>
      <c r="E160" s="8" t="s">
        <v>5</v>
      </c>
      <c r="F160" s="8" t="s">
        <v>48</v>
      </c>
      <c r="G160" s="8" t="s">
        <v>50</v>
      </c>
      <c r="H160" s="8" t="s">
        <v>50</v>
      </c>
      <c r="I160" s="11">
        <v>4.0</v>
      </c>
      <c r="J160" s="11">
        <v>1.0</v>
      </c>
      <c r="K160" s="11">
        <f t="shared" si="1"/>
        <v>2</v>
      </c>
      <c r="L160" s="8" t="s">
        <v>138</v>
      </c>
      <c r="M160" s="8" t="s">
        <v>83</v>
      </c>
    </row>
    <row r="161" ht="57.75" customHeight="1">
      <c r="A161" s="8" t="s">
        <v>240</v>
      </c>
      <c r="B161" s="8" t="s">
        <v>241</v>
      </c>
      <c r="C161" s="8" t="s">
        <v>75</v>
      </c>
      <c r="D161" s="9">
        <v>46185.5</v>
      </c>
      <c r="E161" s="8" t="s">
        <v>6</v>
      </c>
      <c r="F161" s="8" t="s">
        <v>54</v>
      </c>
      <c r="G161" s="8" t="s">
        <v>55</v>
      </c>
      <c r="H161" s="8" t="s">
        <v>56</v>
      </c>
      <c r="I161" s="11">
        <v>5.0</v>
      </c>
      <c r="J161" s="11">
        <v>1.0</v>
      </c>
      <c r="K161" s="11">
        <f t="shared" si="1"/>
        <v>2.5</v>
      </c>
      <c r="L161" s="8" t="s">
        <v>326</v>
      </c>
      <c r="M161" s="8" t="s">
        <v>83</v>
      </c>
    </row>
    <row r="162" ht="57.75" customHeight="1">
      <c r="A162" s="8" t="s">
        <v>240</v>
      </c>
      <c r="B162" s="8" t="s">
        <v>241</v>
      </c>
      <c r="C162" s="8" t="s">
        <v>75</v>
      </c>
      <c r="D162" s="9">
        <v>46185.5</v>
      </c>
      <c r="E162" s="8" t="s">
        <v>6</v>
      </c>
      <c r="F162" s="8" t="s">
        <v>60</v>
      </c>
      <c r="G162" s="8" t="s">
        <v>61</v>
      </c>
      <c r="H162" s="8" t="s">
        <v>61</v>
      </c>
      <c r="I162" s="11">
        <v>5.0</v>
      </c>
      <c r="J162" s="11">
        <v>1.0</v>
      </c>
      <c r="K162" s="11">
        <f t="shared" si="1"/>
        <v>2.5</v>
      </c>
      <c r="L162" s="8" t="s">
        <v>327</v>
      </c>
      <c r="M162" s="8" t="s">
        <v>83</v>
      </c>
    </row>
    <row r="163" ht="57.75" customHeight="1">
      <c r="A163" s="8" t="s">
        <v>240</v>
      </c>
      <c r="B163" s="8" t="s">
        <v>241</v>
      </c>
      <c r="C163" s="8" t="s">
        <v>75</v>
      </c>
      <c r="D163" s="9">
        <v>46185.5</v>
      </c>
      <c r="E163" s="8" t="s">
        <v>6</v>
      </c>
      <c r="F163" s="8" t="s">
        <v>65</v>
      </c>
      <c r="G163" s="8" t="s">
        <v>66</v>
      </c>
      <c r="H163" s="8" t="s">
        <v>67</v>
      </c>
      <c r="I163" s="11">
        <v>5.0</v>
      </c>
      <c r="J163" s="11">
        <v>1.0</v>
      </c>
      <c r="K163" s="11">
        <f t="shared" si="1"/>
        <v>2.5</v>
      </c>
      <c r="L163" s="8" t="s">
        <v>328</v>
      </c>
      <c r="M163" s="8" t="s">
        <v>83</v>
      </c>
    </row>
    <row r="164" ht="57.75" customHeight="1">
      <c r="A164" s="8" t="s">
        <v>240</v>
      </c>
      <c r="B164" s="8" t="s">
        <v>241</v>
      </c>
      <c r="C164" s="8" t="s">
        <v>75</v>
      </c>
      <c r="D164" s="9">
        <v>46185.5</v>
      </c>
      <c r="E164" s="8" t="s">
        <v>6</v>
      </c>
      <c r="F164" s="8" t="s">
        <v>71</v>
      </c>
      <c r="G164" s="8" t="s">
        <v>74</v>
      </c>
      <c r="H164" s="8" t="s">
        <v>74</v>
      </c>
      <c r="I164" s="11">
        <v>4.0</v>
      </c>
      <c r="J164" s="11">
        <v>0.0</v>
      </c>
      <c r="K164" s="11">
        <f t="shared" si="1"/>
        <v>0</v>
      </c>
      <c r="L164" s="8" t="s">
        <v>219</v>
      </c>
      <c r="M164" s="8" t="s">
        <v>83</v>
      </c>
    </row>
    <row r="165" ht="57.75" customHeight="1">
      <c r="A165" s="8" t="s">
        <v>240</v>
      </c>
      <c r="B165" s="8" t="s">
        <v>241</v>
      </c>
      <c r="C165" s="8" t="s">
        <v>75</v>
      </c>
      <c r="D165" s="9">
        <v>46185.5</v>
      </c>
      <c r="E165" s="8" t="s">
        <v>6</v>
      </c>
      <c r="F165" s="8" t="s">
        <v>79</v>
      </c>
      <c r="G165" s="8" t="s">
        <v>81</v>
      </c>
      <c r="H165" s="8" t="s">
        <v>82</v>
      </c>
      <c r="I165" s="11">
        <v>4.0</v>
      </c>
      <c r="J165" s="11">
        <v>1.0</v>
      </c>
      <c r="K165" s="11">
        <f t="shared" si="1"/>
        <v>2</v>
      </c>
      <c r="L165" s="8" t="s">
        <v>329</v>
      </c>
      <c r="M165" s="8" t="s">
        <v>83</v>
      </c>
    </row>
    <row r="166" ht="57.75" customHeight="1">
      <c r="A166" s="8" t="s">
        <v>240</v>
      </c>
      <c r="B166" s="8" t="s">
        <v>241</v>
      </c>
      <c r="C166" s="8" t="s">
        <v>75</v>
      </c>
      <c r="D166" s="9">
        <v>46185.5</v>
      </c>
      <c r="E166" s="8" t="s">
        <v>6</v>
      </c>
      <c r="F166" s="8" t="s">
        <v>87</v>
      </c>
      <c r="G166" s="8" t="s">
        <v>88</v>
      </c>
      <c r="H166" s="8" t="s">
        <v>88</v>
      </c>
      <c r="I166" s="11">
        <v>5.0</v>
      </c>
      <c r="J166" s="11">
        <v>1.0</v>
      </c>
      <c r="K166" s="11">
        <f t="shared" si="1"/>
        <v>2.5</v>
      </c>
      <c r="L166" s="8" t="s">
        <v>330</v>
      </c>
      <c r="M166" s="8" t="s">
        <v>83</v>
      </c>
    </row>
    <row r="167" ht="57.75" customHeight="1">
      <c r="A167" s="8" t="s">
        <v>240</v>
      </c>
      <c r="B167" s="8" t="s">
        <v>241</v>
      </c>
      <c r="C167" s="8" t="s">
        <v>75</v>
      </c>
      <c r="D167" s="9">
        <v>46185.5</v>
      </c>
      <c r="E167" s="8" t="s">
        <v>6</v>
      </c>
      <c r="F167" s="8" t="s">
        <v>92</v>
      </c>
      <c r="G167" s="8" t="s">
        <v>93</v>
      </c>
      <c r="H167" s="8" t="s">
        <v>94</v>
      </c>
      <c r="I167" s="11">
        <v>5.0</v>
      </c>
      <c r="J167" s="11">
        <v>1.0</v>
      </c>
      <c r="K167" s="11">
        <f t="shared" si="1"/>
        <v>2.5</v>
      </c>
      <c r="L167" s="8" t="s">
        <v>242</v>
      </c>
      <c r="M167" s="8" t="s">
        <v>83</v>
      </c>
    </row>
    <row r="168" ht="57.75" customHeight="1">
      <c r="A168" s="8" t="s">
        <v>240</v>
      </c>
      <c r="B168" s="8" t="s">
        <v>241</v>
      </c>
      <c r="C168" s="8" t="s">
        <v>75</v>
      </c>
      <c r="D168" s="9">
        <v>46185.5</v>
      </c>
      <c r="E168" s="8" t="s">
        <v>6</v>
      </c>
      <c r="F168" s="8" t="s">
        <v>100</v>
      </c>
      <c r="G168" s="8" t="s">
        <v>102</v>
      </c>
      <c r="H168" s="8" t="s">
        <v>102</v>
      </c>
      <c r="I168" s="11">
        <v>7.0</v>
      </c>
      <c r="J168" s="11">
        <v>1.0</v>
      </c>
      <c r="K168" s="11">
        <f t="shared" si="1"/>
        <v>3.5</v>
      </c>
      <c r="L168" s="8" t="s">
        <v>243</v>
      </c>
      <c r="M168" s="8" t="s">
        <v>83</v>
      </c>
    </row>
    <row r="169" ht="57.75" customHeight="1">
      <c r="A169" s="8" t="s">
        <v>240</v>
      </c>
      <c r="B169" s="8" t="s">
        <v>241</v>
      </c>
      <c r="C169" s="8" t="s">
        <v>75</v>
      </c>
      <c r="D169" s="9">
        <v>46185.5</v>
      </c>
      <c r="E169" s="8" t="s">
        <v>7</v>
      </c>
      <c r="F169" s="8" t="s">
        <v>110</v>
      </c>
      <c r="G169" s="8" t="s">
        <v>113</v>
      </c>
      <c r="H169" s="8" t="s">
        <v>113</v>
      </c>
      <c r="I169" s="11">
        <v>3.0</v>
      </c>
      <c r="J169" s="11">
        <v>1.0</v>
      </c>
      <c r="K169" s="11">
        <f t="shared" si="1"/>
        <v>1.5</v>
      </c>
      <c r="L169" s="8" t="s">
        <v>243</v>
      </c>
      <c r="M169" s="8" t="s">
        <v>83</v>
      </c>
    </row>
    <row r="170" ht="57.75" customHeight="1">
      <c r="A170" s="8" t="s">
        <v>240</v>
      </c>
      <c r="B170" s="8" t="s">
        <v>241</v>
      </c>
      <c r="C170" s="8" t="s">
        <v>75</v>
      </c>
      <c r="D170" s="9">
        <v>46185.5</v>
      </c>
      <c r="E170" s="8" t="s">
        <v>7</v>
      </c>
      <c r="F170" s="8" t="s">
        <v>117</v>
      </c>
      <c r="G170" s="8" t="s">
        <v>118</v>
      </c>
      <c r="H170" s="8" t="s">
        <v>118</v>
      </c>
      <c r="I170" s="11">
        <v>2.0</v>
      </c>
      <c r="J170" s="11">
        <v>1.0</v>
      </c>
      <c r="K170" s="11">
        <f t="shared" si="1"/>
        <v>1</v>
      </c>
      <c r="L170" s="8" t="s">
        <v>319</v>
      </c>
      <c r="M170" s="8" t="s">
        <v>83</v>
      </c>
    </row>
    <row r="171" ht="57.75" customHeight="1">
      <c r="A171" s="8" t="s">
        <v>240</v>
      </c>
      <c r="B171" s="8" t="s">
        <v>241</v>
      </c>
      <c r="C171" s="8" t="s">
        <v>75</v>
      </c>
      <c r="D171" s="9">
        <v>46185.5</v>
      </c>
      <c r="E171" s="8" t="s">
        <v>7</v>
      </c>
      <c r="F171" s="8" t="s">
        <v>122</v>
      </c>
      <c r="G171" s="8" t="s">
        <v>123</v>
      </c>
      <c r="H171" s="8" t="s">
        <v>124</v>
      </c>
      <c r="I171" s="11">
        <v>4.0</v>
      </c>
      <c r="J171" s="11">
        <v>1.0</v>
      </c>
      <c r="K171" s="11">
        <f t="shared" si="1"/>
        <v>2</v>
      </c>
      <c r="L171" s="8" t="s">
        <v>267</v>
      </c>
      <c r="M171" s="8" t="s">
        <v>83</v>
      </c>
    </row>
    <row r="172" ht="57.75" customHeight="1">
      <c r="A172" s="8" t="s">
        <v>240</v>
      </c>
      <c r="B172" s="8" t="s">
        <v>241</v>
      </c>
      <c r="C172" s="8" t="s">
        <v>75</v>
      </c>
      <c r="D172" s="9">
        <v>46185.5</v>
      </c>
      <c r="E172" s="8" t="s">
        <v>7</v>
      </c>
      <c r="F172" s="8" t="s">
        <v>128</v>
      </c>
      <c r="G172" s="8" t="s">
        <v>130</v>
      </c>
      <c r="H172" s="8" t="s">
        <v>131</v>
      </c>
      <c r="I172" s="11">
        <v>4.0</v>
      </c>
      <c r="J172" s="11">
        <v>1.0</v>
      </c>
      <c r="K172" s="11">
        <f t="shared" si="1"/>
        <v>2</v>
      </c>
      <c r="L172" s="8" t="s">
        <v>331</v>
      </c>
      <c r="M172" s="8" t="s">
        <v>83</v>
      </c>
    </row>
    <row r="173" ht="57.75" customHeight="1">
      <c r="A173" s="8" t="s">
        <v>240</v>
      </c>
      <c r="B173" s="8" t="s">
        <v>241</v>
      </c>
      <c r="C173" s="8" t="s">
        <v>75</v>
      </c>
      <c r="D173" s="9">
        <v>46185.5</v>
      </c>
      <c r="E173" s="8" t="s">
        <v>7</v>
      </c>
      <c r="F173" s="8" t="s">
        <v>139</v>
      </c>
      <c r="G173" s="8" t="s">
        <v>141</v>
      </c>
      <c r="H173" s="8" t="s">
        <v>141</v>
      </c>
      <c r="I173" s="11">
        <v>3.0</v>
      </c>
      <c r="J173" s="11">
        <v>2.0</v>
      </c>
      <c r="K173" s="11">
        <f t="shared" si="1"/>
        <v>3</v>
      </c>
      <c r="L173" s="8" t="s">
        <v>251</v>
      </c>
      <c r="M173" s="8" t="s">
        <v>83</v>
      </c>
    </row>
    <row r="174" ht="57.75" customHeight="1">
      <c r="A174" s="8" t="s">
        <v>240</v>
      </c>
      <c r="B174" s="8" t="s">
        <v>241</v>
      </c>
      <c r="C174" s="8" t="s">
        <v>75</v>
      </c>
      <c r="D174" s="9">
        <v>46185.5</v>
      </c>
      <c r="E174" s="8" t="s">
        <v>7</v>
      </c>
      <c r="F174" s="8" t="s">
        <v>146</v>
      </c>
      <c r="G174" s="8" t="s">
        <v>147</v>
      </c>
      <c r="H174" s="8" t="s">
        <v>147</v>
      </c>
      <c r="I174" s="11">
        <v>3.0</v>
      </c>
      <c r="J174" s="11">
        <v>2.0</v>
      </c>
      <c r="K174" s="11">
        <f t="shared" si="1"/>
        <v>3</v>
      </c>
      <c r="L174" s="8" t="s">
        <v>252</v>
      </c>
      <c r="M174" s="8" t="s">
        <v>83</v>
      </c>
    </row>
    <row r="175" ht="57.75" customHeight="1">
      <c r="A175" s="8" t="s">
        <v>240</v>
      </c>
      <c r="B175" s="8" t="s">
        <v>241</v>
      </c>
      <c r="C175" s="8" t="s">
        <v>75</v>
      </c>
      <c r="D175" s="9">
        <v>46185.5</v>
      </c>
      <c r="E175" s="8" t="s">
        <v>7</v>
      </c>
      <c r="F175" s="8" t="s">
        <v>151</v>
      </c>
      <c r="G175" s="8" t="s">
        <v>152</v>
      </c>
      <c r="H175" s="8" t="s">
        <v>152</v>
      </c>
      <c r="I175" s="11">
        <v>2.0</v>
      </c>
      <c r="J175" s="11">
        <v>2.0</v>
      </c>
      <c r="K175" s="11">
        <f t="shared" si="1"/>
        <v>2</v>
      </c>
      <c r="L175" s="8" t="s">
        <v>253</v>
      </c>
      <c r="M175" s="8" t="s">
        <v>83</v>
      </c>
    </row>
    <row r="176" ht="57.75" customHeight="1">
      <c r="A176" s="8" t="s">
        <v>240</v>
      </c>
      <c r="B176" s="8" t="s">
        <v>241</v>
      </c>
      <c r="C176" s="8" t="s">
        <v>75</v>
      </c>
      <c r="D176" s="9">
        <v>46185.5</v>
      </c>
      <c r="E176" s="8" t="s">
        <v>7</v>
      </c>
      <c r="F176" s="8" t="s">
        <v>156</v>
      </c>
      <c r="G176" s="8" t="s">
        <v>157</v>
      </c>
      <c r="H176" s="8" t="s">
        <v>157</v>
      </c>
      <c r="I176" s="11">
        <v>5.0</v>
      </c>
      <c r="J176" s="11">
        <v>1.0</v>
      </c>
      <c r="K176" s="11">
        <f t="shared" si="1"/>
        <v>2.5</v>
      </c>
      <c r="L176" s="8" t="s">
        <v>254</v>
      </c>
      <c r="M176" s="8" t="s">
        <v>83</v>
      </c>
    </row>
    <row r="177" ht="57.75" customHeight="1">
      <c r="A177" s="8" t="s">
        <v>240</v>
      </c>
      <c r="B177" s="8" t="s">
        <v>241</v>
      </c>
      <c r="C177" s="8" t="s">
        <v>75</v>
      </c>
      <c r="D177" s="9">
        <v>46185.5</v>
      </c>
      <c r="E177" s="8" t="s">
        <v>7</v>
      </c>
      <c r="F177" s="8" t="s">
        <v>163</v>
      </c>
      <c r="G177" s="8" t="s">
        <v>165</v>
      </c>
      <c r="H177" s="8" t="s">
        <v>165</v>
      </c>
      <c r="I177" s="11">
        <v>4.0</v>
      </c>
      <c r="J177" s="11">
        <v>1.0</v>
      </c>
      <c r="K177" s="11">
        <f t="shared" si="1"/>
        <v>2</v>
      </c>
      <c r="L177" s="8" t="s">
        <v>269</v>
      </c>
      <c r="M177" s="8" t="s">
        <v>83</v>
      </c>
    </row>
    <row r="178" ht="57.75" customHeight="1">
      <c r="A178" s="8" t="s">
        <v>240</v>
      </c>
      <c r="B178" s="8" t="s">
        <v>241</v>
      </c>
      <c r="C178" s="8" t="s">
        <v>75</v>
      </c>
      <c r="D178" s="9">
        <v>46185.5</v>
      </c>
      <c r="E178" s="8" t="s">
        <v>8</v>
      </c>
      <c r="F178" s="8" t="s">
        <v>173</v>
      </c>
      <c r="G178" s="8" t="s">
        <v>174</v>
      </c>
      <c r="H178" s="8" t="s">
        <v>174</v>
      </c>
      <c r="I178" s="11">
        <v>5.0</v>
      </c>
      <c r="J178" s="11">
        <v>0.0</v>
      </c>
      <c r="K178" s="11">
        <f t="shared" si="1"/>
        <v>0</v>
      </c>
      <c r="L178" s="8" t="s">
        <v>322</v>
      </c>
      <c r="M178" s="8" t="s">
        <v>83</v>
      </c>
    </row>
    <row r="179" ht="57.75" customHeight="1">
      <c r="A179" s="8" t="s">
        <v>240</v>
      </c>
      <c r="B179" s="8" t="s">
        <v>241</v>
      </c>
      <c r="C179" s="8" t="s">
        <v>75</v>
      </c>
      <c r="D179" s="9">
        <v>46185.5</v>
      </c>
      <c r="E179" s="8" t="s">
        <v>8</v>
      </c>
      <c r="F179" s="8" t="s">
        <v>178</v>
      </c>
      <c r="G179" s="8" t="s">
        <v>179</v>
      </c>
      <c r="H179" s="8" t="s">
        <v>179</v>
      </c>
      <c r="I179" s="11">
        <v>3.0</v>
      </c>
      <c r="J179" s="11">
        <v>1.0</v>
      </c>
      <c r="K179" s="11">
        <f t="shared" si="1"/>
        <v>1.5</v>
      </c>
      <c r="L179" s="8" t="s">
        <v>332</v>
      </c>
      <c r="M179" s="8" t="s">
        <v>83</v>
      </c>
    </row>
    <row r="180" ht="57.75" customHeight="1">
      <c r="A180" s="8" t="s">
        <v>240</v>
      </c>
      <c r="B180" s="8" t="s">
        <v>241</v>
      </c>
      <c r="C180" s="8" t="s">
        <v>75</v>
      </c>
      <c r="D180" s="9">
        <v>46185.5</v>
      </c>
      <c r="E180" s="8" t="s">
        <v>8</v>
      </c>
      <c r="F180" s="8" t="s">
        <v>183</v>
      </c>
      <c r="G180" s="8" t="s">
        <v>184</v>
      </c>
      <c r="H180" s="8" t="s">
        <v>184</v>
      </c>
      <c r="I180" s="11">
        <v>4.0</v>
      </c>
      <c r="J180" s="11">
        <v>1.0</v>
      </c>
      <c r="K180" s="11">
        <f t="shared" si="1"/>
        <v>2</v>
      </c>
      <c r="L180" s="8" t="s">
        <v>272</v>
      </c>
      <c r="M180" s="8" t="s">
        <v>83</v>
      </c>
    </row>
    <row r="181" ht="57.75" customHeight="1">
      <c r="A181" s="8" t="s">
        <v>240</v>
      </c>
      <c r="B181" s="8" t="s">
        <v>241</v>
      </c>
      <c r="C181" s="8" t="s">
        <v>75</v>
      </c>
      <c r="D181" s="9">
        <v>46185.5</v>
      </c>
      <c r="E181" s="8" t="s">
        <v>8</v>
      </c>
      <c r="F181" s="8" t="s">
        <v>191</v>
      </c>
      <c r="G181" s="8" t="s">
        <v>193</v>
      </c>
      <c r="H181" s="8" t="s">
        <v>193</v>
      </c>
      <c r="I181" s="11">
        <v>2.0</v>
      </c>
      <c r="J181" s="11">
        <v>1.0</v>
      </c>
      <c r="K181" s="11">
        <f t="shared" si="1"/>
        <v>1</v>
      </c>
      <c r="L181" s="8" t="s">
        <v>333</v>
      </c>
      <c r="M181" s="8" t="s">
        <v>83</v>
      </c>
    </row>
    <row r="182" ht="57.75" customHeight="1">
      <c r="A182" s="8" t="s">
        <v>240</v>
      </c>
      <c r="B182" s="8" t="s">
        <v>241</v>
      </c>
      <c r="C182" s="8" t="s">
        <v>75</v>
      </c>
      <c r="D182" s="9">
        <v>46185.5</v>
      </c>
      <c r="E182" s="8" t="s">
        <v>8</v>
      </c>
      <c r="F182" s="8" t="s">
        <v>199</v>
      </c>
      <c r="G182" s="8" t="s">
        <v>201</v>
      </c>
      <c r="H182" s="8" t="s">
        <v>201</v>
      </c>
      <c r="I182" s="11">
        <v>1.0</v>
      </c>
      <c r="J182" s="11">
        <v>2.0</v>
      </c>
      <c r="K182" s="11">
        <f t="shared" si="1"/>
        <v>1</v>
      </c>
      <c r="L182" s="8" t="s">
        <v>334</v>
      </c>
      <c r="M182" s="8" t="s">
        <v>83</v>
      </c>
    </row>
    <row r="183" ht="57.75" customHeight="1">
      <c r="A183" s="8" t="s">
        <v>240</v>
      </c>
      <c r="B183" s="8" t="s">
        <v>241</v>
      </c>
      <c r="C183" s="8" t="s">
        <v>75</v>
      </c>
      <c r="D183" s="9">
        <v>46185.5</v>
      </c>
      <c r="E183" s="8" t="s">
        <v>8</v>
      </c>
      <c r="F183" s="8" t="s">
        <v>205</v>
      </c>
      <c r="G183" s="8" t="s">
        <v>206</v>
      </c>
      <c r="H183" s="8" t="s">
        <v>206</v>
      </c>
      <c r="I183" s="11">
        <v>5.0</v>
      </c>
      <c r="J183" s="11">
        <v>1.0</v>
      </c>
      <c r="K183" s="11">
        <f t="shared" si="1"/>
        <v>2.5</v>
      </c>
      <c r="L183" s="8" t="s">
        <v>335</v>
      </c>
      <c r="M183" s="8" t="s">
        <v>83</v>
      </c>
    </row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ustomSheetViews>
    <customSheetView guid="{2B35AF3C-EDFF-4DD1-ADC5-7EAEB63EB0FA}" filter="1" showAutoFilter="1">
      <autoFilter ref="$A$1:$M$183"/>
      <extLst>
        <ext uri="GoogleSheetsCustomDataVersion1">
          <go:sheetsCustomData xmlns:go="http://customooxmlschemas.google.com/" filterViewId="978766034"/>
        </ext>
      </extLst>
    </customSheetView>
  </customSheetViews>
  <conditionalFormatting sqref="J2:J183">
    <cfRule type="colorScale" priority="1">
      <colorScale>
        <cfvo type="min"/>
        <cfvo type="formula" val="1"/>
        <cfvo type="max"/>
        <color rgb="FFF6CACA"/>
        <color rgb="FFFFF0A8"/>
        <color rgb="FFBFE7D2"/>
      </colorScale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8AAEB0"/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9.0"/>
    <col customWidth="1" min="2" max="2" width="17.0"/>
    <col customWidth="1" min="3" max="3" width="44.0"/>
    <col customWidth="1" min="4" max="4" width="46.0"/>
    <col customWidth="1" min="5" max="5" width="9.0"/>
    <col customWidth="1" min="6" max="6" width="48.0"/>
    <col customWidth="1" min="7" max="7" width="52.0"/>
    <col customWidth="1" min="8" max="8" width="56.0"/>
    <col customWidth="1" min="9" max="26" width="8.63"/>
  </cols>
  <sheetData>
    <row r="1" ht="30.0" customHeight="1">
      <c r="A1" s="6" t="s">
        <v>13</v>
      </c>
      <c r="B1" s="6" t="s">
        <v>15</v>
      </c>
      <c r="C1" s="6" t="s">
        <v>17</v>
      </c>
      <c r="D1" s="6" t="s">
        <v>18</v>
      </c>
      <c r="E1" s="6" t="s">
        <v>19</v>
      </c>
      <c r="F1" s="6" t="s">
        <v>20</v>
      </c>
      <c r="G1" s="6" t="s">
        <v>21</v>
      </c>
      <c r="H1" s="6" t="s">
        <v>23</v>
      </c>
    </row>
    <row r="2" ht="66.0" customHeight="1">
      <c r="A2" s="8" t="s">
        <v>24</v>
      </c>
      <c r="B2" s="8" t="s">
        <v>5</v>
      </c>
      <c r="C2" s="8" t="s">
        <v>29</v>
      </c>
      <c r="D2" s="8" t="s">
        <v>31</v>
      </c>
      <c r="E2" s="8">
        <v>3.0</v>
      </c>
      <c r="F2" s="8" t="s">
        <v>33</v>
      </c>
      <c r="G2" s="8" t="s">
        <v>35</v>
      </c>
      <c r="H2" s="8" t="s">
        <v>36</v>
      </c>
    </row>
    <row r="3" ht="66.0" customHeight="1">
      <c r="A3" s="8" t="s">
        <v>37</v>
      </c>
      <c r="B3" s="8" t="s">
        <v>5</v>
      </c>
      <c r="C3" s="8" t="s">
        <v>39</v>
      </c>
      <c r="D3" s="8" t="s">
        <v>39</v>
      </c>
      <c r="E3" s="8">
        <v>3.0</v>
      </c>
      <c r="F3" s="8" t="s">
        <v>42</v>
      </c>
      <c r="G3" s="8" t="s">
        <v>44</v>
      </c>
      <c r="H3" s="8" t="s">
        <v>46</v>
      </c>
    </row>
    <row r="4" ht="66.0" customHeight="1">
      <c r="A4" s="8" t="s">
        <v>48</v>
      </c>
      <c r="B4" s="8" t="s">
        <v>5</v>
      </c>
      <c r="C4" s="8" t="s">
        <v>50</v>
      </c>
      <c r="D4" s="8" t="s">
        <v>50</v>
      </c>
      <c r="E4" s="8">
        <v>4.0</v>
      </c>
      <c r="F4" s="8" t="s">
        <v>51</v>
      </c>
      <c r="G4" s="8" t="s">
        <v>52</v>
      </c>
      <c r="H4" s="8" t="s">
        <v>53</v>
      </c>
    </row>
    <row r="5" ht="66.0" customHeight="1">
      <c r="A5" s="8" t="s">
        <v>54</v>
      </c>
      <c r="B5" s="8" t="s">
        <v>6</v>
      </c>
      <c r="C5" s="8" t="s">
        <v>55</v>
      </c>
      <c r="D5" s="8" t="s">
        <v>56</v>
      </c>
      <c r="E5" s="8">
        <v>5.0</v>
      </c>
      <c r="F5" s="8" t="s">
        <v>57</v>
      </c>
      <c r="G5" s="8" t="s">
        <v>58</v>
      </c>
      <c r="H5" s="8" t="s">
        <v>59</v>
      </c>
    </row>
    <row r="6" ht="66.0" customHeight="1">
      <c r="A6" s="8" t="s">
        <v>60</v>
      </c>
      <c r="B6" s="8" t="s">
        <v>6</v>
      </c>
      <c r="C6" s="8" t="s">
        <v>61</v>
      </c>
      <c r="D6" s="8" t="s">
        <v>61</v>
      </c>
      <c r="E6" s="8">
        <v>5.0</v>
      </c>
      <c r="F6" s="8" t="s">
        <v>62</v>
      </c>
      <c r="G6" s="8" t="s">
        <v>63</v>
      </c>
      <c r="H6" s="8" t="s">
        <v>64</v>
      </c>
    </row>
    <row r="7" ht="66.0" customHeight="1">
      <c r="A7" s="8" t="s">
        <v>65</v>
      </c>
      <c r="B7" s="8" t="s">
        <v>6</v>
      </c>
      <c r="C7" s="8" t="s">
        <v>66</v>
      </c>
      <c r="D7" s="8" t="s">
        <v>67</v>
      </c>
      <c r="E7" s="8">
        <v>5.0</v>
      </c>
      <c r="F7" s="8" t="s">
        <v>68</v>
      </c>
      <c r="G7" s="8" t="s">
        <v>69</v>
      </c>
      <c r="H7" s="8" t="s">
        <v>70</v>
      </c>
    </row>
    <row r="8" ht="66.0" customHeight="1">
      <c r="A8" s="8" t="s">
        <v>71</v>
      </c>
      <c r="B8" s="8" t="s">
        <v>6</v>
      </c>
      <c r="C8" s="8" t="s">
        <v>74</v>
      </c>
      <c r="D8" s="8" t="s">
        <v>74</v>
      </c>
      <c r="E8" s="8">
        <v>4.0</v>
      </c>
      <c r="F8" s="8" t="s">
        <v>76</v>
      </c>
      <c r="G8" s="8" t="s">
        <v>77</v>
      </c>
      <c r="H8" s="8" t="s">
        <v>78</v>
      </c>
    </row>
    <row r="9" ht="66.0" customHeight="1">
      <c r="A9" s="8" t="s">
        <v>79</v>
      </c>
      <c r="B9" s="8" t="s">
        <v>6</v>
      </c>
      <c r="C9" s="8" t="s">
        <v>81</v>
      </c>
      <c r="D9" s="8" t="s">
        <v>82</v>
      </c>
      <c r="E9" s="8">
        <v>4.0</v>
      </c>
      <c r="F9" s="8" t="s">
        <v>84</v>
      </c>
      <c r="G9" s="8" t="s">
        <v>85</v>
      </c>
      <c r="H9" s="8" t="s">
        <v>86</v>
      </c>
    </row>
    <row r="10" ht="66.0" customHeight="1">
      <c r="A10" s="8" t="s">
        <v>87</v>
      </c>
      <c r="B10" s="8" t="s">
        <v>6</v>
      </c>
      <c r="C10" s="8" t="s">
        <v>88</v>
      </c>
      <c r="D10" s="8" t="s">
        <v>88</v>
      </c>
      <c r="E10" s="8">
        <v>5.0</v>
      </c>
      <c r="F10" s="8" t="s">
        <v>89</v>
      </c>
      <c r="G10" s="8" t="s">
        <v>90</v>
      </c>
      <c r="H10" s="8" t="s">
        <v>91</v>
      </c>
    </row>
    <row r="11" ht="66.0" customHeight="1">
      <c r="A11" s="8" t="s">
        <v>92</v>
      </c>
      <c r="B11" s="8" t="s">
        <v>6</v>
      </c>
      <c r="C11" s="8" t="s">
        <v>93</v>
      </c>
      <c r="D11" s="8" t="s">
        <v>94</v>
      </c>
      <c r="E11" s="8">
        <v>5.0</v>
      </c>
      <c r="F11" s="8" t="s">
        <v>95</v>
      </c>
      <c r="G11" s="8" t="s">
        <v>96</v>
      </c>
      <c r="H11" s="8" t="s">
        <v>98</v>
      </c>
    </row>
    <row r="12" ht="66.0" customHeight="1">
      <c r="A12" s="8" t="s">
        <v>100</v>
      </c>
      <c r="B12" s="8" t="s">
        <v>6</v>
      </c>
      <c r="C12" s="8" t="s">
        <v>102</v>
      </c>
      <c r="D12" s="8" t="s">
        <v>102</v>
      </c>
      <c r="E12" s="8">
        <v>7.0</v>
      </c>
      <c r="F12" s="8" t="s">
        <v>106</v>
      </c>
      <c r="G12" s="8" t="s">
        <v>108</v>
      </c>
      <c r="H12" s="8" t="s">
        <v>109</v>
      </c>
    </row>
    <row r="13" ht="66.0" customHeight="1">
      <c r="A13" s="8" t="s">
        <v>110</v>
      </c>
      <c r="B13" s="8" t="s">
        <v>7</v>
      </c>
      <c r="C13" s="8" t="s">
        <v>113</v>
      </c>
      <c r="D13" s="8" t="s">
        <v>113</v>
      </c>
      <c r="E13" s="8">
        <v>3.0</v>
      </c>
      <c r="F13" s="8" t="s">
        <v>114</v>
      </c>
      <c r="G13" s="8" t="s">
        <v>115</v>
      </c>
      <c r="H13" s="8" t="s">
        <v>116</v>
      </c>
    </row>
    <row r="14" ht="66.0" customHeight="1">
      <c r="A14" s="8" t="s">
        <v>117</v>
      </c>
      <c r="B14" s="8" t="s">
        <v>7</v>
      </c>
      <c r="C14" s="8" t="s">
        <v>118</v>
      </c>
      <c r="D14" s="8" t="s">
        <v>118</v>
      </c>
      <c r="E14" s="8">
        <v>2.0</v>
      </c>
      <c r="F14" s="8" t="s">
        <v>119</v>
      </c>
      <c r="G14" s="8" t="s">
        <v>120</v>
      </c>
      <c r="H14" s="8" t="s">
        <v>121</v>
      </c>
    </row>
    <row r="15" ht="66.0" customHeight="1">
      <c r="A15" s="8" t="s">
        <v>122</v>
      </c>
      <c r="B15" s="8" t="s">
        <v>7</v>
      </c>
      <c r="C15" s="8" t="s">
        <v>123</v>
      </c>
      <c r="D15" s="8" t="s">
        <v>124</v>
      </c>
      <c r="E15" s="8">
        <v>4.0</v>
      </c>
      <c r="F15" s="8" t="s">
        <v>125</v>
      </c>
      <c r="G15" s="8" t="s">
        <v>126</v>
      </c>
      <c r="H15" s="8" t="s">
        <v>127</v>
      </c>
    </row>
    <row r="16" ht="66.0" customHeight="1">
      <c r="A16" s="8" t="s">
        <v>128</v>
      </c>
      <c r="B16" s="8" t="s">
        <v>7</v>
      </c>
      <c r="C16" s="8" t="s">
        <v>130</v>
      </c>
      <c r="D16" s="8" t="s">
        <v>131</v>
      </c>
      <c r="E16" s="8">
        <v>4.0</v>
      </c>
      <c r="F16" s="8" t="s">
        <v>133</v>
      </c>
      <c r="G16" s="8" t="s">
        <v>135</v>
      </c>
      <c r="H16" s="8" t="s">
        <v>136</v>
      </c>
    </row>
    <row r="17" ht="66.0" customHeight="1">
      <c r="A17" s="8" t="s">
        <v>139</v>
      </c>
      <c r="B17" s="8" t="s">
        <v>7</v>
      </c>
      <c r="C17" s="8" t="s">
        <v>141</v>
      </c>
      <c r="D17" s="8" t="s">
        <v>141</v>
      </c>
      <c r="E17" s="8">
        <v>3.0</v>
      </c>
      <c r="F17" s="8" t="s">
        <v>143</v>
      </c>
      <c r="G17" s="8" t="s">
        <v>144</v>
      </c>
      <c r="H17" s="8" t="s">
        <v>145</v>
      </c>
    </row>
    <row r="18" ht="66.0" customHeight="1">
      <c r="A18" s="8" t="s">
        <v>146</v>
      </c>
      <c r="B18" s="8" t="s">
        <v>7</v>
      </c>
      <c r="C18" s="8" t="s">
        <v>147</v>
      </c>
      <c r="D18" s="8" t="s">
        <v>147</v>
      </c>
      <c r="E18" s="8">
        <v>3.0</v>
      </c>
      <c r="F18" s="8" t="s">
        <v>148</v>
      </c>
      <c r="G18" s="8" t="s">
        <v>149</v>
      </c>
      <c r="H18" s="8" t="s">
        <v>150</v>
      </c>
    </row>
    <row r="19" ht="66.0" customHeight="1">
      <c r="A19" s="8" t="s">
        <v>151</v>
      </c>
      <c r="B19" s="8" t="s">
        <v>7</v>
      </c>
      <c r="C19" s="8" t="s">
        <v>152</v>
      </c>
      <c r="D19" s="8" t="s">
        <v>152</v>
      </c>
      <c r="E19" s="8">
        <v>2.0</v>
      </c>
      <c r="F19" s="8" t="s">
        <v>153</v>
      </c>
      <c r="G19" s="8" t="s">
        <v>154</v>
      </c>
      <c r="H19" s="8" t="s">
        <v>155</v>
      </c>
    </row>
    <row r="20" ht="66.0" customHeight="1">
      <c r="A20" s="8" t="s">
        <v>156</v>
      </c>
      <c r="B20" s="8" t="s">
        <v>7</v>
      </c>
      <c r="C20" s="8" t="s">
        <v>157</v>
      </c>
      <c r="D20" s="8" t="s">
        <v>157</v>
      </c>
      <c r="E20" s="8">
        <v>5.0</v>
      </c>
      <c r="F20" s="8" t="s">
        <v>158</v>
      </c>
      <c r="G20" s="8" t="s">
        <v>159</v>
      </c>
      <c r="H20" s="8" t="s">
        <v>160</v>
      </c>
    </row>
    <row r="21" ht="66.0" customHeight="1">
      <c r="A21" s="8" t="s">
        <v>163</v>
      </c>
      <c r="B21" s="8" t="s">
        <v>7</v>
      </c>
      <c r="C21" s="8" t="s">
        <v>165</v>
      </c>
      <c r="D21" s="8" t="s">
        <v>165</v>
      </c>
      <c r="E21" s="8">
        <v>4.0</v>
      </c>
      <c r="F21" s="8" t="s">
        <v>168</v>
      </c>
      <c r="G21" s="8" t="s">
        <v>169</v>
      </c>
      <c r="H21" s="8" t="s">
        <v>171</v>
      </c>
    </row>
    <row r="22" ht="66.0" customHeight="1">
      <c r="A22" s="8" t="s">
        <v>173</v>
      </c>
      <c r="B22" s="8" t="s">
        <v>8</v>
      </c>
      <c r="C22" s="8" t="s">
        <v>174</v>
      </c>
      <c r="D22" s="8" t="s">
        <v>174</v>
      </c>
      <c r="E22" s="8">
        <v>5.0</v>
      </c>
      <c r="F22" s="8" t="s">
        <v>175</v>
      </c>
      <c r="G22" s="8" t="s">
        <v>176</v>
      </c>
      <c r="H22" s="8" t="s">
        <v>177</v>
      </c>
    </row>
    <row r="23" ht="66.0" customHeight="1">
      <c r="A23" s="8" t="s">
        <v>178</v>
      </c>
      <c r="B23" s="8" t="s">
        <v>8</v>
      </c>
      <c r="C23" s="8" t="s">
        <v>179</v>
      </c>
      <c r="D23" s="8" t="s">
        <v>179</v>
      </c>
      <c r="E23" s="8">
        <v>3.0</v>
      </c>
      <c r="F23" s="8" t="s">
        <v>180</v>
      </c>
      <c r="G23" s="8" t="s">
        <v>181</v>
      </c>
      <c r="H23" s="8" t="s">
        <v>182</v>
      </c>
    </row>
    <row r="24" ht="66.0" customHeight="1">
      <c r="A24" s="8" t="s">
        <v>183</v>
      </c>
      <c r="B24" s="8" t="s">
        <v>8</v>
      </c>
      <c r="C24" s="8" t="s">
        <v>184</v>
      </c>
      <c r="D24" s="8" t="s">
        <v>184</v>
      </c>
      <c r="E24" s="8">
        <v>4.0</v>
      </c>
      <c r="F24" s="8" t="s">
        <v>186</v>
      </c>
      <c r="G24" s="8" t="s">
        <v>187</v>
      </c>
      <c r="H24" s="8" t="s">
        <v>189</v>
      </c>
    </row>
    <row r="25" ht="66.0" customHeight="1">
      <c r="A25" s="8" t="s">
        <v>191</v>
      </c>
      <c r="B25" s="8" t="s">
        <v>8</v>
      </c>
      <c r="C25" s="8" t="s">
        <v>193</v>
      </c>
      <c r="D25" s="8" t="s">
        <v>193</v>
      </c>
      <c r="E25" s="8">
        <v>2.0</v>
      </c>
      <c r="F25" s="8" t="s">
        <v>195</v>
      </c>
      <c r="G25" s="8" t="s">
        <v>197</v>
      </c>
      <c r="H25" s="8" t="s">
        <v>198</v>
      </c>
    </row>
    <row r="26" ht="66.0" customHeight="1">
      <c r="A26" s="8" t="s">
        <v>199</v>
      </c>
      <c r="B26" s="8" t="s">
        <v>8</v>
      </c>
      <c r="C26" s="8" t="s">
        <v>201</v>
      </c>
      <c r="D26" s="8" t="s">
        <v>201</v>
      </c>
      <c r="E26" s="8">
        <v>1.0</v>
      </c>
      <c r="F26" s="8" t="s">
        <v>202</v>
      </c>
      <c r="G26" s="8" t="s">
        <v>203</v>
      </c>
      <c r="H26" s="8" t="s">
        <v>204</v>
      </c>
    </row>
    <row r="27" ht="66.0" customHeight="1">
      <c r="A27" s="8" t="s">
        <v>205</v>
      </c>
      <c r="B27" s="8" t="s">
        <v>8</v>
      </c>
      <c r="C27" s="8" t="s">
        <v>206</v>
      </c>
      <c r="D27" s="8" t="s">
        <v>206</v>
      </c>
      <c r="E27" s="8">
        <v>5.0</v>
      </c>
      <c r="F27" s="8" t="s">
        <v>207</v>
      </c>
      <c r="G27" s="8" t="s">
        <v>208</v>
      </c>
      <c r="H27" s="8" t="s">
        <v>210</v>
      </c>
    </row>
    <row r="28" ht="15.75" customHeight="1"/>
    <row r="29" ht="15.75" customHeight="1"/>
    <row r="30" ht="25.5" customHeight="1">
      <c r="A30" s="14" t="s">
        <v>211</v>
      </c>
    </row>
    <row r="31" ht="15.75" customHeight="1">
      <c r="A31" s="4" t="s">
        <v>212</v>
      </c>
      <c r="B31" s="4" t="s">
        <v>213</v>
      </c>
      <c r="C31" s="4"/>
      <c r="D31" s="4"/>
      <c r="E31" s="4"/>
      <c r="F31" s="4"/>
      <c r="G31" s="4"/>
      <c r="H31" s="4"/>
    </row>
    <row r="32" ht="15.75" customHeight="1">
      <c r="A32" s="4" t="s">
        <v>214</v>
      </c>
      <c r="B32" s="4" t="s">
        <v>215</v>
      </c>
      <c r="C32" s="4"/>
      <c r="D32" s="4"/>
      <c r="E32" s="4"/>
      <c r="F32" s="4"/>
      <c r="G32" s="4"/>
      <c r="H32" s="4"/>
    </row>
    <row r="33" ht="15.75" customHeight="1">
      <c r="A33" s="4" t="s">
        <v>216</v>
      </c>
      <c r="B33" s="4" t="s">
        <v>217</v>
      </c>
      <c r="C33" s="4"/>
      <c r="D33" s="4"/>
      <c r="E33" s="4"/>
      <c r="F33" s="4"/>
      <c r="G33" s="4"/>
      <c r="H33" s="4"/>
    </row>
    <row r="34" ht="15.75" customHeight="1"/>
    <row r="35" ht="30.0" customHeight="1">
      <c r="A35" s="3" t="s">
        <v>221</v>
      </c>
      <c r="B35" s="3" t="s">
        <v>222</v>
      </c>
      <c r="C35" s="3" t="s">
        <v>223</v>
      </c>
      <c r="D35" s="3" t="s">
        <v>224</v>
      </c>
    </row>
    <row r="36" ht="15.75" customHeight="1">
      <c r="A36" s="4" t="s">
        <v>212</v>
      </c>
      <c r="B36" s="4">
        <v>0.0</v>
      </c>
      <c r="C36" s="4">
        <v>59.9</v>
      </c>
      <c r="D36" s="4" t="s">
        <v>226</v>
      </c>
    </row>
    <row r="37" ht="15.75" customHeight="1">
      <c r="A37" s="4" t="s">
        <v>214</v>
      </c>
      <c r="B37" s="4">
        <v>60.0</v>
      </c>
      <c r="C37" s="4">
        <v>74.9</v>
      </c>
      <c r="D37" s="4" t="s">
        <v>228</v>
      </c>
    </row>
    <row r="38" ht="15.75" customHeight="1">
      <c r="A38" s="4" t="s">
        <v>216</v>
      </c>
      <c r="B38" s="4">
        <v>75.0</v>
      </c>
      <c r="C38" s="4">
        <v>89.9</v>
      </c>
      <c r="D38" s="4" t="s">
        <v>229</v>
      </c>
    </row>
    <row r="39" ht="15.75" customHeight="1">
      <c r="A39" s="4" t="s">
        <v>231</v>
      </c>
      <c r="B39" s="4">
        <v>90.0</v>
      </c>
      <c r="C39" s="4">
        <v>100.0</v>
      </c>
      <c r="D39" s="4" t="s">
        <v>233</v>
      </c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ustomSheetViews>
    <customSheetView guid="{B51AC103-D697-4965-A4B8-476A54B75393}" filter="1" showAutoFilter="1">
      <autoFilter ref="$A$1:$H$27"/>
      <extLst>
        <ext uri="GoogleSheetsCustomDataVersion1">
          <go:sheetsCustomData xmlns:go="http://customooxmlschemas.google.com/" filterViewId="1024053781"/>
        </ext>
      </extLst>
    </customSheetView>
  </customSheetViews>
  <mergeCells count="1">
    <mergeCell ref="A30:H30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